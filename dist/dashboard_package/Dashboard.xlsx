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0e63dc819545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bbf21ee13cc406e"/>
    <x:sheet xmlns:r="http://schemas.openxmlformats.org/officeDocument/2006/relationships" name="Priority_Data" sheetId="2" r:id="R774281323e644d8b"/>
    <x:sheet xmlns:r="http://schemas.openxmlformats.org/officeDocument/2006/relationships" name="History_Data" sheetId="3" r:id="Rd69edaaa5a184e4e"/>
    <x:sheet xmlns:r="http://schemas.openxmlformats.org/officeDocument/2006/relationships" name="Model_Check" sheetId="4" r:id="Raec22c351c4147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"/>
    <x:numFmt numFmtId="201" formatCode="0.000"/>
    <x:numFmt numFmtId="202" formatCode="0.0%"/>
    <x:numFmt numFmtId="203" formatCode="0.0&quot;%&quot;"/>
    <x:numFmt numFmtId="204" formatCode="0.0&quot; pp/yr&quot;"/>
  </x:numFmts>
  <x:fonts count="12">
    <x:font>
      <x:sz val="11"/>
      <x:name val="Carlito"/>
    </x:font>
    <x:font>
      <x:b/>
      <x:sz val="10"/>
      <x:color rgb="FFFFFFFF"/>
      <x:name val="Arial"/>
    </x:font>
    <x:font>
      <x:b/>
      <x:sz val="16"/>
      <x:color rgb="FF12304A"/>
      <x:name val="Arial"/>
    </x:font>
    <x:font>
      <x:i/>
      <x:sz val="10"/>
      <x:color rgb="FF60727C"/>
      <x:name val="Arial"/>
    </x:font>
    <x:font>
      <x:b/>
      <x:sz val="10"/>
      <x:color rgb="FF18323F"/>
      <x:name val="Arial"/>
    </x:font>
    <x:font>
      <x:b/>
      <x:sz val="11"/>
      <x:color rgb="FF12304A"/>
      <x:name val="Arial"/>
    </x:font>
    <x:font>
      <x:i/>
      <x:sz val="9"/>
      <x:color rgb="FF60727C"/>
      <x:name val="Arial"/>
    </x:font>
    <x:font>
      <x:b/>
      <x:sz val="9"/>
      <x:color rgb="FF60727C"/>
      <x:name val="Arial"/>
    </x:font>
    <x:font>
      <x:b/>
      <x:sz val="14"/>
      <x:color rgb="FF12304A"/>
      <x:name val="Arial"/>
    </x:font>
    <x:font>
      <x:b/>
      <x:sz val="11"/>
      <x:color rgb="FF9C0006"/>
      <x:name val="Arial"/>
    </x:font>
    <x:font>
      <x:sz val="10"/>
      <x:color rgb="FF18323F"/>
      <x:name val="Arial"/>
    </x:font>
    <x:font>
      <x:b/>
      <x:sz val="9"/>
      <x:color rgb="FF9C0006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FFF2CC"/>
      </x:patternFill>
    </x:fill>
    <x:fill>
      <x:patternFill patternType="solid">
        <x:fgColor rgb="FFEAF3F6"/>
      </x:patternFill>
    </x:fill>
    <x:fill>
      <x:patternFill patternType="solid">
        <x:fgColor rgb="FFFFFFFF"/>
      </x:patternFill>
    </x:fill>
    <x:fill>
      <x:patternFill patternType="solid">
        <x:fgColor rgb="FF1F6E8C"/>
      </x:patternFill>
    </x:fill>
    <x:fill>
      <x:patternFill patternType="solid">
        <x:fgColor rgb="FFE2F0D9"/>
      </x:patternFill>
    </x:fill>
    <x:fill>
      <x:patternFill patternType="solid">
        <x:fgColor rgb="FFFCE8E6"/>
      </x:patternFill>
    </x:fill>
  </x:fills>
  <x:borders count="9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medium">
        <x:color rgb="FF1F6E8C"/>
      </x:bottom>
    </x:border>
    <x:border>
      <x:left style="dashed">
        <x:color rgb="FF1F6E8C"/>
      </x:left>
      <x:top style="dashed">
        <x:color rgb="FF1F6E8C"/>
      </x:top>
      <x:bottom style="dashed">
        <x:color rgb="FF1F6E8C"/>
      </x:bottom>
    </x:border>
    <x:border>
      <x:top style="dashed">
        <x:color rgb="FF1F6E8C"/>
      </x:top>
      <x:bottom style="dashed">
        <x:color rgb="FF1F6E8C"/>
      </x:bottom>
    </x:border>
    <x:border>
      <x:right style="dashed">
        <x:color rgb="FF1F6E8C"/>
      </x:right>
      <x:top style="dashed">
        <x:color rgb="FF1F6E8C"/>
      </x:top>
      <x:bottom style="dashed">
        <x:color rgb="FF1F6E8C"/>
      </x:bottom>
    </x:border>
    <x:border>
      <x:bottom style="thin">
        <x:color rgb="FFD9E2E7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4" xfId="0" applyNumberFormat="1" applyFont="1" applyFill="1" applyBorder="1"/>
    <x:xf numFmtId="0" fontId="2" fillId="0" borderId="4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5" xfId="0" applyNumberFormat="1" applyFont="1" applyFill="1" applyBorder="1"/>
    <x:xf numFmtId="0" fontId="5" fillId="3" borderId="6" xfId="0" applyNumberFormat="1" applyFont="1" applyFill="1" applyBorder="1"/>
    <x:xf numFmtId="0" fontId="5" fillId="3" borderId="7" xfId="0" applyNumberFormat="1" applyFont="1" applyFill="1" applyBorder="1"/>
    <x:xf numFmtId="0" fontId="5" fillId="3" borderId="5" xfId="0" applyNumberFormat="1" applyFont="1" applyFill="1" applyBorder="1" applyAlignment="1">
      <x:alignment horizontal="center"/>
    </x:xf>
    <x:xf numFmtId="0" fontId="5" fillId="3" borderId="6" xfId="0" applyNumberFormat="1" applyFont="1" applyFill="1" applyBorder="1" applyAlignment="1">
      <x:alignment horizontal="center"/>
    </x:xf>
    <x:xf numFmtId="0" fontId="5" fillId="3" borderId="7" xfId="0" applyNumberFormat="1" applyFont="1" applyFill="1" applyBorder="1" applyAlignment="1">
      <x:alignment horizontal="center"/>
    </x:xf>
    <x:xf numFmtId="0" fontId="5" fillId="3" borderId="5" xfId="0" applyNumberFormat="1" applyFont="1" applyFill="1" applyBorder="1" applyAlignment="1">
      <x:alignment horizontal="center" vertical="center"/>
    </x:xf>
    <x:xf numFmtId="0" fontId="5" fillId="3" borderId="6" xfId="0" applyNumberFormat="1" applyFont="1" applyFill="1" applyBorder="1" applyAlignment="1">
      <x:alignment horizontal="center" vertical="center"/>
    </x:xf>
    <x:xf numFmtId="0" fontId="5" fillId="3" borderId="7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203" fontId="8" fillId="0" borderId="0" xfId="0" applyNumberFormat="1" applyFont="1" applyFill="1" applyBorder="1"/>
    <x:xf numFmtId="204" fontId="8" fillId="0" borderId="0" xfId="0" applyNumberFormat="1" applyFont="1" applyFill="1" applyBorder="1"/>
    <x:xf numFmtId="0" fontId="7" fillId="0" borderId="0" xfId="0" applyNumberFormat="1" applyFont="1" applyFill="1" applyBorder="1"/>
    <x:xf numFmtId="0" fontId="0" fillId="5" borderId="0" xfId="0" applyNumberFormat="1" applyFont="1" applyFill="1" applyBorder="1"/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8" xfId="0" applyNumberFormat="1" applyFont="1" applyFill="1" applyBorder="1"/>
    <x:xf numFmtId="200" fontId="0" fillId="0" borderId="8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</x:cellXfs>
  <x:cellStyles count="1">
    <x:cellStyle name="Normal" xfId="0"/>
  </x:cellStyles>
  <x:dxfs count="1">
    <x:dxf>
      <x:font>
        <x:b/>
        <x:color rgb="FF9C0006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47d47472094dfd" /><Relationship Type="http://schemas.openxmlformats.org/officeDocument/2006/relationships/theme" Target="/xl/theme/theme1.xml" Id="Rf5e54b1da18844a2" /><Relationship Type="http://schemas.openxmlformats.org/officeDocument/2006/relationships/sharedStrings" Target="/xl/sharedStrings.xml" Id="R34bd17aa123d4ec8" /><Relationship Type="http://schemas.openxmlformats.org/officeDocument/2006/relationships/worksheet" Target="/xl/worksheets/sheet1.xml" Id="R4bbf21ee13cc406e" /><Relationship Type="http://schemas.openxmlformats.org/officeDocument/2006/relationships/worksheet" Target="/xl/worksheets/sheet2.xml" Id="R774281323e644d8b" /><Relationship Type="http://schemas.openxmlformats.org/officeDocument/2006/relationships/worksheet" Target="/xl/worksheets/sheet3.xml" Id="Rd69edaaa5a184e4e" /><Relationship Type="http://schemas.openxmlformats.org/officeDocument/2006/relationships/worksheet" Target="/xl/worksheets/sheet4.xml" Id="Raec22c351c41470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cec30192a964844" /><Relationship Type="http://schemas.openxmlformats.org/officeDocument/2006/relationships/chart" Target="/xl/drawings/charts/chart2.xml" Id="Rff238b88888c466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Top 10 screening priorities: predicted next change (pp/yr)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Predicted next change (pp/yr)</c:v>
          </c:tx>
          <c:spPr>
            <a:solidFill xmlns:a="http://schemas.openxmlformats.org/drawingml/2006/main">
              <a:srgbClr val="1F6E8C"/>
            </a:solidFill>
          </c:spPr>
          <c:cat>
            <c:strRef>
              <c:f>'Priority_Data'!$A$2:$A$11</c:f>
              <c:strCache>
                <c:ptCount val="0"/>
              </c:strCache>
            </c:strRef>
          </c:cat>
          <c:val>
            <c:numRef>
              <c:f>'Priority_Data'!$G$2:$G$11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Observed national mean live coral cover (%)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National mean LCC (%)</c:v>
          </c:tx>
          <c:spPr>
            <a:ln xmlns:a="http://schemas.openxmlformats.org/drawingml/2006/main" w="19050">
              <a:solidFill>
                <a:srgbClr val="78909C"/>
              </a:solidFill>
              <a:prstDash val="solid"/>
            </a:ln>
          </c:spPr>
          <c:marker>
            <c:symbol val="none"/>
          </c:marker>
          <c:cat>
            <c:strRef>
              <c:f>'Model_Check'!$F$8:$F$21</c:f>
              <c:strCache>
                <c:ptCount val="0"/>
              </c:strCache>
            </c:strRef>
          </c:cat>
          <c:val>
            <c:numRef>
              <c:f>'Model_Check'!$G$8:$G$21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18</xdr:row>
      <xdr:rowOff>0</xdr:rowOff>
    </xdr:from>
    <xdr:to>
      <xdr:col>6</xdr:col>
      <xdr:colOff>0</xdr:colOff>
      <xdr:row>34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ec30192a964844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0</xdr:colOff>
      <xdr:row>34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238b88888c466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riorityTable" displayName="PriorityTable" ref="A1:M41" headerRowCount="1" totalsRowCount="0" totalsRowShown="0">
  <x:tableColumns count="13">
    <x:tableColumn id="1" name="Island"/>
    <x:tableColumn id="2" name="Rank"/>
    <x:tableColumn id="3" name="State"/>
    <x:tableColumn id="4" name="Current LCC (%)"/>
    <x:tableColumn id="5" name="Observed change (pp/yr)"/>
    <x:tableColumn id="6" name="Max DHW"/>
    <x:tableColumn id="7" name="Predicted next change (pp/yr)"/>
    <x:tableColumn id="8" name="Lower"/>
    <x:tableColumn id="9" name="Upper"/>
    <x:tableColumn id="10" name="Priority tier"/>
    <x:tableColumn id="11" name="Evidence"/>
    <x:tableColumn id="12" name="Recommended next step"/>
    <x:tableColumn id="13" name="Source conf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istoryTable" displayName="HistoryTable" ref="A1:G405" headerRowCount="1" totalsRowCount="0" totalsRowShown="0">
  <x:tableColumns count="7">
    <x:tableColumn id="1" name="Island"/>
    <x:tableColumn id="2" name="State"/>
    <x:tableColumn id="3" name="Survey year"/>
    <x:tableColumn id="4" name="Live coral cover (%)"/>
    <x:tableColumn id="5" name="Observed change (pp/yr)"/>
    <x:tableColumn id="6" name="Max DHW"/>
    <x:tableColumn id="7" name="Source 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odelTable" displayName="ModelTable" ref="A1:D5" headerRowCount="1" totalsRowCount="0" totalsRowShown="0">
  <x:tableColumns count="4">
    <x:tableColumn id="1" name="Model"/>
    <x:tableColumn id="2" name="MAE (pp/yr)"/>
    <x:tableColumn id="3" name="RMSE (pp/yr)"/>
    <x:tableColumn id="4" name="R²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57f2ee127d8469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b99e95bacf6449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0997303518142c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9e6efff2d0e4457" /></Relationships>
</file>

<file path=xl/worksheets/sheet1.xml><?xml version="1.0" encoding="utf-8"?>
<x:worksheet xmlns:x="http://schemas.openxmlformats.org/spreadsheetml/2006/main">
  <x:sheetPr>
    <x:tabColor rgb="FF12304A"/>
  </x:sheetPr>
  <x:sheetViews>
    <x:sheetView showGridLines="0" workbookViewId="0"/>
  </x:sheetViews>
  <x:sheetFormatPr defaultRowHeight="15"/>
  <x:cols>
    <x:col min="1" max="1" width="17" hidden="0" customWidth="1"/>
    <x:col min="2" max="2" width="14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>
      <x:c r="A1" s="57"/>
      <x:c r="B1" s="57"/>
      <x:c r="C1" s="57"/>
      <x:c r="D1" s="57"/>
      <x:c r="E1" s="57"/>
      <x:c r="F1" s="57"/>
      <x:c r="G1" s="57"/>
      <x:c r="H1" s="57"/>
      <x:c r="I1" s="57"/>
      <x:c r="J1" s="57"/>
      <x:c r="K1" s="57"/>
      <x:c r="L1" s="57"/>
      <x:c r="M1" s="57"/>
    </x:row>
    <x:row r="2">
      <x:c r="A2" s="17" t="str">
        <x:v>ReefSafe decision dashboard</x:v>
      </x:c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</x:row>
    <x:row r="3">
      <x:c r="A3" s="18" t="str">
        <x:v>Observed reef evidence + cautious next-observation screening | Malaysia, 2012–2025</x:v>
      </x:c>
    </x:row>
    <x:row r="5">
      <x:c r="A5" s="19" t="str">
        <x:v>Selected island</x:v>
      </x:c>
      <x:c r="B5" s="28" t="str">
        <x:v>Labuan</x:v>
      </x:c>
      <x:c r="C5" s="29"/>
      <x:c r="D5" s="30"/>
      <x:c r="E5" s="31" t="str">
        <x:v>Change the yellow cell to inspect any monitored island</x:v>
      </x:c>
      <x:c r="F5" s="31"/>
      <x:c r="G5" s="31"/>
      <x:c r="H5" s="31"/>
      <x:c r="I5" s="31"/>
      <x:c r="J5" s="31"/>
      <x:c r="K5" s="31"/>
      <x:c r="L5" s="31"/>
      <x:c r="M5" s="31"/>
    </x:row>
    <x:row r="7">
      <x:c r="A7" s="33" t="str">
        <x:v>Current LCC</x:v>
      </x:c>
      <x:c r="B7" s="33"/>
      <x:c r="C7" s="33"/>
      <x:c r="D7" s="33" t="str">
        <x:v>Observed change</x:v>
      </x:c>
      <x:c r="E7" s="33"/>
      <x:c r="F7" s="33"/>
      <x:c r="G7" s="33" t="str">
        <x:v>Predicted next change</x:v>
      </x:c>
      <x:c r="H7" s="33"/>
      <x:c r="I7" s="33"/>
      <x:c r="J7" s="33" t="str">
        <x:v>Priority</x:v>
      </x:c>
      <x:c r="K7" s="33"/>
      <x:c r="L7" s="33"/>
      <x:c r="M7" s="33"/>
    </x:row>
    <x:row r="8">
      <x:c r="A8" s="36" t="n">
        <x:f>IFERROR(VLOOKUP($B$5,Priority_Data!$A$2:$M$41,4,FALSE),"")</x:f>
        <x:v>24.23</x:v>
      </x:c>
      <x:c r="B8" s="34"/>
      <x:c r="C8" s="34"/>
      <x:c r="D8" s="37" t="n">
        <x:f>IFERROR(VLOOKUP($B$5,Priority_Data!$A$2:$M$41,5,FALSE),"")</x:f>
        <x:v>-7.345</x:v>
      </x:c>
      <x:c r="E8" s="37"/>
      <x:c r="F8" s="37"/>
      <x:c r="G8" s="37" t="n">
        <x:f>IFERROR(VLOOKUP($B$5,Priority_Data!$A$2:$M$41,7,FALSE),"")</x:f>
        <x:v>-11.973949241216234</x:v>
      </x:c>
      <x:c r="H8" s="34"/>
      <x:c r="I8" s="34"/>
      <x:c r="J8" s="35" t="str">
        <x:f>IFERROR(VLOOKUP($B$5,Priority_Data!$A$2:$M$41,10,FALSE),"")</x:f>
        <x:v>High screening priority</x:v>
      </x:c>
      <x:c r="K8" s="35"/>
      <x:c r="L8" s="35"/>
      <x:c r="M8" s="35"/>
    </x:row>
    <x:row r="10">
      <x:c r="A10" s="38" t="str">
        <x:v>Uncertainty interval</x:v>
      </x:c>
      <x:c r="B10" s="19" t="str">
        <x:f>IFERROR(TEXT(VLOOKUP($B$5,Priority_Data!$A$2:$M$41,8,FALSE),"0.0")&amp;" to "&amp;TEXT(VLOOKUP($B$5,Priority_Data!$A$2:$M$41,9,FALSE),"0.0")&amp;" pp/yr","")</x:f>
        <x:v>-19.8 to -4.2 pp/yr</x:v>
      </x:c>
      <x:c r="C10" s="19"/>
      <x:c r="D10" s="19"/>
      <x:c r="E10" s="31" t="str">
        <x:v>Intervals are empirical screening bands, not causal or site-specific certainty.</x:v>
      </x:c>
      <x:c r="F10" s="31"/>
      <x:c r="G10" s="31"/>
      <x:c r="H10" s="31"/>
      <x:c r="I10" s="31"/>
      <x:c r="J10" s="31"/>
      <x:c r="K10" s="31"/>
      <x:c r="L10" s="31"/>
      <x:c r="M10" s="31"/>
    </x:row>
    <x:row r="12">
      <x:c r="A12" s="2" t="str">
        <x:v>Observed evidence</x:v>
      </x:c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</x:row>
    <x:row r="13" ht="38" customHeight="1">
      <x:c r="A13" s="42" t="str">
        <x:f>IFERROR(VLOOKUP($B$5,Priority_Data!$A$2:$M$41,11,FALSE),"")</x:f>
        <x:v>NOAA thermal stress observed</x:v>
      </x:c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  <x:c r="M13" s="42"/>
    </x:row>
    <x:row r="15">
      <x:c r="A15" s="44" t="str">
        <x:v>Recommended next step</x:v>
      </x:c>
      <x:c r="B15" s="44"/>
      <x:c r="C15" s="44"/>
      <x:c r="D15" s="44"/>
      <x:c r="E15" s="44"/>
      <x:c r="F15" s="44"/>
      <x:c r="G15" s="44"/>
      <x:c r="H15" s="44"/>
      <x:c r="I15" s="44"/>
      <x:c r="J15" s="44"/>
      <x:c r="K15" s="44"/>
      <x:c r="L15" s="44"/>
      <x:c r="M15" s="44"/>
    </x:row>
    <x:row r="16" ht="42" customHeight="1">
      <x:c r="A16" s="48" t="str">
        <x:f>IFERROR(VLOOKUP($B$5,Priority_Data!$A$2:$M$41,12,FALSE),"")</x:f>
        <x:v>Coordinate bleaching survey; do not attribute thermal loss to visitors</x:v>
      </x:c>
      <x:c r="B16" s="48"/>
      <x:c r="C16" s="48"/>
      <x:c r="D16" s="48"/>
      <x:c r="E16" s="48"/>
      <x:c r="F16" s="48"/>
      <x:c r="G16" s="48"/>
      <x:c r="H16" s="48"/>
      <x:c r="I16" s="48"/>
      <x:c r="J16" s="48"/>
      <x:c r="K16" s="48"/>
      <x:c r="L16" s="48"/>
      <x:c r="M16" s="48"/>
    </x:row>
    <x:row r="37">
      <x:c r="A37" s="9" t="str">
        <x:v>Island</x:v>
      </x:c>
      <x:c r="B37" s="10" t="str">
        <x:v>State</x:v>
      </x:c>
      <x:c r="C37" s="10" t="str">
        <x:v>Current LCC</x:v>
      </x:c>
      <x:c r="D37" s="10" t="str">
        <x:v>Predicted change</x:v>
      </x:c>
      <x:c r="E37" s="11" t="str">
        <x:v>Evidence</x:v>
      </x:c>
      <x:c r="H37" s="9" t="str">
        <x:v>Model</x:v>
      </x:c>
      <x:c r="I37" s="10" t="str">
        <x:v>MAE</x:v>
      </x:c>
      <x:c r="J37" s="10" t="str">
        <x:v>RMSE</x:v>
      </x:c>
      <x:c r="K37" s="11" t="str">
        <x:v>R²</x:v>
      </x:c>
    </x:row>
    <x:row r="38" ht="30" customHeight="1">
      <x:c r="A38" s="49" t="str">
        <x:f>Priority_Data!A2</x:f>
        <x:v>Labuan</x:v>
      </x:c>
      <x:c r="B38" s="49" t="str">
        <x:f>Priority_Data!C2</x:f>
        <x:v>Sabah</x:v>
      </x:c>
      <x:c r="C38" s="12" t="n">
        <x:f>Priority_Data!D2</x:f>
        <x:v>24.23</x:v>
      </x:c>
      <x:c r="D38" s="12" t="n">
        <x:f>Priority_Data!G2</x:f>
        <x:v>-11.973949241216234</x:v>
      </x:c>
      <x:c r="E38" s="13" t="str">
        <x:f>Priority_Data!K2</x:f>
        <x:v>NOAA thermal stress observed</x:v>
      </x:c>
      <x:c r="H38" t="str">
        <x:f>Model_Check!A2</x:f>
        <x:v>Baseline mean</x:v>
      </x:c>
      <x:c r="I38" s="14" t="n">
        <x:f>Model_Check!B2</x:f>
        <x:v>5.991</x:v>
      </x:c>
      <x:c r="J38" s="14" t="n">
        <x:f>Model_Check!C2</x:f>
        <x:v>8.1</x:v>
      </x:c>
      <x:c r="K38" s="14" t="n">
        <x:f>Model_Check!D2</x:f>
        <x:v>-0.019</x:v>
      </x:c>
    </x:row>
    <x:row r="39" ht="30" customHeight="1">
      <x:c r="A39" s="49" t="str">
        <x:f>Priority_Data!A3</x:f>
        <x:v>Kapas</x:v>
      </x:c>
      <x:c r="B39" s="49" t="str">
        <x:f>Priority_Data!C3</x:f>
        <x:v>Terengganu</x:v>
      </x:c>
      <x:c r="C39" s="12" t="n">
        <x:f>Priority_Data!D3</x:f>
        <x:v>52.63</x:v>
      </x:c>
      <x:c r="D39" s="12" t="n">
        <x:f>Priority_Data!G3</x:f>
        <x:v>-4.4979093676300685</x:v>
      </x:c>
      <x:c r="E39" s="13" t="str">
        <x:f>Priority_Data!K3</x:f>
        <x:v>Modelled decline; no single dominant observed stressor</x:v>
      </x:c>
      <x:c r="H39" t="str">
        <x:f>Model_Check!A3</x:f>
        <x:v>Ridge regression</x:v>
      </x:c>
      <x:c r="I39" s="14" t="n">
        <x:f>Model_Check!B3</x:f>
        <x:v>5.993</x:v>
      </x:c>
      <x:c r="J39" s="14" t="n">
        <x:f>Model_Check!C3</x:f>
        <x:v>7.909</x:v>
      </x:c>
      <x:c r="K39" s="14" t="n">
        <x:f>Model_Check!D3</x:f>
        <x:v>0.029</x:v>
      </x:c>
    </x:row>
    <x:row r="40" ht="30" customHeight="1">
      <x:c r="A40" s="49" t="str">
        <x:f>Priority_Data!A4</x:f>
        <x:v>Lankayan</x:v>
      </x:c>
      <x:c r="B40" s="49" t="str">
        <x:f>Priority_Data!C4</x:f>
        <x:v>Sabah</x:v>
      </x:c>
      <x:c r="C40" s="12" t="n">
        <x:f>Priority_Data!D4</x:f>
        <x:v>51.04</x:v>
      </x:c>
      <x:c r="D40" s="12" t="n">
        <x:f>Priority_Data!G4</x:f>
        <x:v>-3.781391061273908</x:v>
      </x:c>
      <x:c r="E40" s="13" t="str">
        <x:f>Priority_Data!K4</x:f>
        <x:v>NOAA thermal stress observed</x:v>
      </x:c>
      <x:c r="H40" t="str">
        <x:f>Model_Check!A4</x:f>
        <x:v>Gradient boosting</x:v>
      </x:c>
      <x:c r="I40" s="14" t="n">
        <x:f>Model_Check!B4</x:f>
        <x:v>5.902</x:v>
      </x:c>
      <x:c r="J40" s="14" t="n">
        <x:f>Model_Check!C4</x:f>
        <x:v>7.817</x:v>
      </x:c>
      <x:c r="K40" s="14" t="n">
        <x:f>Model_Check!D4</x:f>
        <x:v>0.051</x:v>
      </x:c>
    </x:row>
    <x:row r="41" ht="30" customHeight="1">
      <x:c r="A41" s="49" t="str">
        <x:f>Priority_Data!A5</x:f>
        <x:v>Seri Buat</x:v>
      </x:c>
      <x:c r="B41" s="49" t="str">
        <x:f>Priority_Data!C5</x:f>
        <x:v>Pahang</x:v>
      </x:c>
      <x:c r="C41" s="12" t="n">
        <x:f>Priority_Data!D5</x:f>
        <x:v>54.22</x:v>
      </x:c>
      <x:c r="D41" s="12" t="n">
        <x:f>Priority_Data!G5</x:f>
        <x:v>-3.6327788556819818</x:v>
      </x:c>
      <x:c r="E41" s="13" t="str">
        <x:f>Priority_Data!K5</x:f>
        <x:v>Anchor impact mentioned in Reef Check report</x:v>
      </x:c>
      <x:c r="H41" t="str">
        <x:f>Model_Check!A5</x:f>
        <x:v>Random forest</x:v>
      </x:c>
      <x:c r="I41" s="14" t="n">
        <x:f>Model_Check!B5</x:f>
        <x:v>6.123</x:v>
      </x:c>
      <x:c r="J41" s="14" t="n">
        <x:f>Model_Check!C5</x:f>
        <x:v>8.073</x:v>
      </x:c>
      <x:c r="K41" s="14" t="n">
        <x:f>Model_Check!D5</x:f>
        <x:v>-0.012</x:v>
      </x:c>
    </x:row>
    <x:row r="42" ht="30" customHeight="1">
      <x:c r="A42" s="49" t="str">
        <x:f>Priority_Data!A6</x:f>
        <x:v>Mertang</x:v>
      </x:c>
      <x:c r="B42" s="49" t="str">
        <x:f>Priority_Data!C6</x:f>
        <x:v>Johor</x:v>
      </x:c>
      <x:c r="C42" s="12" t="n">
        <x:f>Priority_Data!D6</x:f>
        <x:v>58.33</x:v>
      </x:c>
      <x:c r="D42" s="12" t="n">
        <x:f>Priority_Data!G6</x:f>
        <x:v>-3.4106833307175433</x:v>
      </x:c>
      <x:c r="E42" s="13" t="str">
        <x:f>Priority_Data!K6</x:f>
        <x:v>Anchor impact mentioned in Reef Check report</x:v>
      </x:c>
    </x:row>
    <x:row r="43" ht="30" customHeight="1">
      <x:c r="A43" s="49" t="str">
        <x:f>Priority_Data!A7</x:f>
        <x:v>Mensirip</x:v>
      </x:c>
      <x:c r="B43" s="49" t="str">
        <x:f>Priority_Data!C7</x:f>
        <x:v>Johor</x:v>
      </x:c>
      <x:c r="C43" s="12" t="n">
        <x:f>Priority_Data!D7</x:f>
        <x:v>54.17</x:v>
      </x:c>
      <x:c r="D43" s="12" t="n">
        <x:f>Priority_Data!G7</x:f>
        <x:v>-3.188051107076818</x:v>
      </x:c>
      <x:c r="E43" s="13" t="str">
        <x:f>Priority_Data!K7</x:f>
        <x:v>Waste or pollution indicator is elevated</x:v>
      </x:c>
      <x:c r="H43" s="56" t="str">
        <x:v>Model check</x:v>
      </x:c>
      <x:c r="I43" s="56" t="str">
        <x:v>Gradient boosting MAE 5.90 pp/yr vs baseline 5.99 pp/yr (+1.5%). R² 0.051. Use only to rank field checks; never as proof of tourism causality.</x:v>
      </x:c>
      <x:c r="J43" s="56"/>
      <x:c r="K43" s="56"/>
      <x:c r="L43" s="56"/>
      <x:c r="M43" s="56"/>
    </x:row>
    <x:row r="44" ht="30" customHeight="1">
      <x:c r="A44" s="49" t="str">
        <x:f>Priority_Data!A8</x:f>
        <x:v>Tenggol</x:v>
      </x:c>
      <x:c r="B44" s="49" t="str">
        <x:f>Priority_Data!C8</x:f>
        <x:v>Terengganu</x:v>
      </x:c>
      <x:c r="C44" s="12" t="n">
        <x:f>Priority_Data!D8</x:f>
        <x:v>54.17</x:v>
      </x:c>
      <x:c r="D44" s="12" t="n">
        <x:f>Priority_Data!G8</x:f>
        <x:v>-3.114732083281549</x:v>
      </x:c>
      <x:c r="E44" s="13" t="str">
        <x:f>Priority_Data!K8</x:f>
        <x:v>Waste or pollution indicator is elevated</x:v>
      </x:c>
      <x:c r="H44" s="56"/>
      <x:c r="I44" s="56"/>
      <x:c r="J44" s="56"/>
      <x:c r="K44" s="56"/>
      <x:c r="L44" s="56"/>
      <x:c r="M44" s="56"/>
    </x:row>
    <x:row r="45" ht="30" customHeight="1">
      <x:c r="A45" s="49" t="str">
        <x:f>Priority_Data!A9</x:f>
        <x:v>Sibu</x:v>
      </x:c>
      <x:c r="B45" s="49" t="str">
        <x:f>Priority_Data!C9</x:f>
        <x:v>Johor</x:v>
      </x:c>
      <x:c r="C45" s="12" t="n">
        <x:f>Priority_Data!D9</x:f>
        <x:v>52.81</x:v>
      </x:c>
      <x:c r="D45" s="12" t="n">
        <x:f>Priority_Data!G9</x:f>
        <x:v>-3.1012994218603427</x:v>
      </x:c>
      <x:c r="E45" s="13" t="str">
        <x:f>Priority_Data!K9</x:f>
        <x:v>Anchor impact mentioned in Reef Check report</x:v>
      </x:c>
    </x:row>
    <x:row r="46" ht="30" customHeight="1">
      <x:c r="A46" s="49" t="str">
        <x:f>Priority_Data!A10</x:f>
        <x:v>Tinggi</x:v>
      </x:c>
      <x:c r="B46" s="49" t="str">
        <x:f>Priority_Data!C10</x:f>
        <x:v>Johor</x:v>
      </x:c>
      <x:c r="C46" s="12" t="n">
        <x:f>Priority_Data!D10</x:f>
        <x:v>52.5</x:v>
      </x:c>
      <x:c r="D46" s="12" t="n">
        <x:f>Priority_Data!G10</x:f>
        <x:v>-2.97428177646884</x:v>
      </x:c>
      <x:c r="E46" s="13" t="str">
        <x:f>Priority_Data!K10</x:f>
        <x:v>Anchor impact mentioned in Reef Check report</x:v>
      </x:c>
    </x:row>
    <x:row r="47" ht="30" customHeight="1">
      <x:c r="A47" s="50" t="str">
        <x:f>Priority_Data!A11</x:f>
        <x:v>Tun Sakaran Marine Park</x:v>
      </x:c>
      <x:c r="B47" s="50" t="str">
        <x:f>Priority_Data!C11</x:f>
        <x:v>Sabah</x:v>
      </x:c>
      <x:c r="C47" s="51" t="n">
        <x:f>Priority_Data!D11</x:f>
        <x:v>51.77</x:v>
      </x:c>
      <x:c r="D47" s="51" t="n">
        <x:f>Priority_Data!G11</x:f>
        <x:v>-2.9534172265123044</x:v>
      </x:c>
      <x:c r="E47" s="52" t="str">
        <x:f>Priority_Data!K11</x:f>
        <x:v>NOAA thermal stress observed</x:v>
      </x:c>
    </x:row>
  </x:sheetData>
  <x:mergeCells>
    <x:mergeCell ref="A13:M13"/>
    <x:mergeCell ref="A16:M16"/>
    <x:mergeCell ref="H43:H44"/>
    <x:mergeCell ref="I43:M44"/>
  </x:mergeCells>
  <x:dataValidations count="1">
    <x:dataValidation type="list" sqref="B5">
      <x:formula1>Priority_Data!$A$2:$A$41</x:formula1>
    </x:dataValidation>
  </x:dataValidations>
  <x:pageMargins left="0.7" right="0.7" top="0.75" bottom="0.75" header="0.3" footer="0.3"/>
  <x:drawing xmlns:r="http://schemas.openxmlformats.org/officeDocument/2006/relationships" r:id="R157f2ee127d84692"/>
</x:worksheet>
</file>

<file path=xl/worksheets/sheet2.xml><?xml version="1.0" encoding="utf-8"?>
<x:worksheet xmlns:x="http://schemas.openxmlformats.org/spreadsheetml/2006/main">
  <x:sheetPr>
    <x:tabColor rgb="FF1F6E8C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8" hidden="0" customWidth="1"/>
    <x:col min="3" max="3" width="14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42" hidden="0" customWidth="1"/>
    <x:col min="12" max="12" width="42" hidden="0" customWidth="1"/>
    <x:col min="13" max="13" width="42" hidden="0" customWidth="1"/>
  </x:cols>
  <x:sheetData>
    <x:row r="1">
      <x:c r="A1" s="9" t="str">
        <x:v>Island</x:v>
      </x:c>
      <x:c r="B1" s="10" t="str">
        <x:v>Rank</x:v>
      </x:c>
      <x:c r="C1" s="10" t="str">
        <x:v>State</x:v>
      </x:c>
      <x:c r="D1" s="10" t="str">
        <x:v>Current LCC (%)</x:v>
      </x:c>
      <x:c r="E1" s="10" t="str">
        <x:v>Observed change (pp/yr)</x:v>
      </x:c>
      <x:c r="F1" s="10" t="str">
        <x:v>Max DHW</x:v>
      </x:c>
      <x:c r="G1" s="10" t="str">
        <x:v>Predicted next change (pp/yr)</x:v>
      </x:c>
      <x:c r="H1" s="10" t="str">
        <x:v>Lower</x:v>
      </x:c>
      <x:c r="I1" s="10" t="str">
        <x:v>Upper</x:v>
      </x:c>
      <x:c r="J1" s="10" t="str">
        <x:v>Priority tier</x:v>
      </x:c>
      <x:c r="K1" s="10" t="str">
        <x:v>Evidence</x:v>
      </x:c>
      <x:c r="L1" s="10" t="str">
        <x:v>Recommended next step</x:v>
      </x:c>
      <x:c r="M1" s="11" t="str">
        <x:v>Source confidence</x:v>
      </x:c>
    </x:row>
    <x:row r="2">
      <x:c r="A2" t="str">
        <x:v>Labuan</x:v>
      </x:c>
      <x:c r="B2" t="n">
        <x:v>1</x:v>
      </x:c>
      <x:c r="C2" t="str">
        <x:v>Sabah</x:v>
      </x:c>
      <x:c r="D2" s="12" t="n">
        <x:v>24.23</x:v>
      </x:c>
      <x:c r="E2" s="12" t="n">
        <x:v>-7.345</x:v>
      </x:c>
      <x:c r="F2" s="12" t="n">
        <x:v>4.04</x:v>
      </x:c>
      <x:c r="G2" s="12" t="n">
        <x:v>-11.973949241216234</x:v>
      </x:c>
      <x:c r="H2" s="12" t="n">
        <x:v>-19.790896976932306</x:v>
      </x:c>
      <x:c r="I2" s="12" t="n">
        <x:v>-4.157001505500161</x:v>
      </x:c>
      <x:c r="J2" t="str">
        <x:v>High screening priority</x:v>
      </x:c>
      <x:c r="K2" s="13" t="str">
        <x:v>NOAA thermal stress observed</x:v>
      </x:c>
      <x:c r="L2" s="13" t="str">
        <x:v>Coordinate bleaching survey; do not attribute thermal loss to visitors</x:v>
      </x:c>
      <x:c r="M2" s="13" t="str">
        <x:v>PDF geometry only - not cross-checked</x:v>
      </x:c>
    </x:row>
    <x:row r="3">
      <x:c r="A3" t="str">
        <x:v>Kapas</x:v>
      </x:c>
      <x:c r="B3" t="n">
        <x:v>2</x:v>
      </x:c>
      <x:c r="C3" t="str">
        <x:v>Terengganu</x:v>
      </x:c>
      <x:c r="D3" s="12" t="n">
        <x:v>52.63</x:v>
      </x:c>
      <x:c r="E3" s="12" t="n">
        <x:v>5.11</x:v>
      </x:c>
      <x:c r="F3" s="12" t="n">
        <x:v>2.05</x:v>
      </x:c>
      <x:c r="G3" s="12" t="n">
        <x:v>-4.4979093676300685</x:v>
      </x:c>
      <x:c r="H3" s="12" t="n">
        <x:v>-12.314857103346142</x:v>
      </x:c>
      <x:c r="I3" s="12" t="n">
        <x:v>3.3190383680860043</x:v>
      </x:c>
      <x:c r="J3" t="str">
        <x:v>High screening priority</x:v>
      </x:c>
      <x:c r="K3" s="13" t="str">
        <x:v>Modelled decline; no single dominant observed stressor</x:v>
      </x:c>
      <x:c r="L3" s="13" t="str">
        <x:v>Prioritise field validation before imposing restrictions</x:v>
      </x:c>
      <x:c r="M3" s="13" t="str">
        <x:v>mixed - markdown primary, PDF filled gaps</x:v>
      </x:c>
    </x:row>
    <x:row r="4">
      <x:c r="A4" t="str">
        <x:v>Lankayan</x:v>
      </x:c>
      <x:c r="B4" t="n">
        <x:v>3</x:v>
      </x:c>
      <x:c r="C4" t="str">
        <x:v>Sabah</x:v>
      </x:c>
      <x:c r="D4" s="12" t="n">
        <x:v>51.04</x:v>
      </x:c>
      <x:c r="E4" s="12" t="n">
        <x:v>1.51</x:v>
      </x:c>
      <x:c r="F4" s="12" t="n">
        <x:v>4.04</x:v>
      </x:c>
      <x:c r="G4" s="12" t="n">
        <x:v>-3.781391061273908</x:v>
      </x:c>
      <x:c r="H4" s="12" t="n">
        <x:v>-11.598338796989982</x:v>
      </x:c>
      <x:c r="I4" s="12" t="n">
        <x:v>4.035556674442165</x:v>
      </x:c>
      <x:c r="J4" t="str">
        <x:v>High screening priority</x:v>
      </x:c>
      <x:c r="K4" s="13" t="str">
        <x:v>NOAA thermal stress observed</x:v>
      </x:c>
      <x:c r="L4" s="13" t="str">
        <x:v>Coordinate bleaching survey; do not attribute thermal loss to visitors</x:v>
      </x:c>
      <x:c r="M4" s="13" t="str">
        <x:v>mixed - markdown primary, PDF filled gaps</x:v>
      </x:c>
    </x:row>
    <x:row r="5">
      <x:c r="A5" t="str">
        <x:v>Seri Buat</x:v>
      </x:c>
      <x:c r="B5" t="n">
        <x:v>4</x:v>
      </x:c>
      <x:c r="C5" t="str">
        <x:v>Pahang</x:v>
      </x:c>
      <x:c r="D5" s="12" t="n">
        <x:v>54.22</x:v>
      </x:c>
      <x:c r="E5" s="12" t="n">
        <x:v>-7.84</x:v>
      </x:c>
      <x:c r="F5" s="12" t="n">
        <x:v>2.05</x:v>
      </x:c>
      <x:c r="G5" s="12" t="n">
        <x:v>-3.6327788556819818</x:v>
      </x:c>
      <x:c r="H5" s="12" t="n">
        <x:v>-11.449726591398054</x:v>
      </x:c>
      <x:c r="I5" s="12" t="n">
        <x:v>4.1841688800340915</x:v>
      </x:c>
      <x:c r="J5" t="str">
        <x:v>High screening priority</x:v>
      </x:c>
      <x:c r="K5" s="13" t="str">
        <x:v>Anchor impact mentioned in Reef Check report</x:v>
      </x:c>
      <x:c r="L5" s="13" t="str">
        <x:v>Inspect mooring availability and anchoring controls</x:v>
      </x:c>
      <x:c r="M5" s="13" t="str">
        <x:v>mixed - markdown primary, PDF filled gaps</x:v>
      </x:c>
    </x:row>
    <x:row r="6">
      <x:c r="A6" t="str">
        <x:v>Mertang</x:v>
      </x:c>
      <x:c r="B6" t="n">
        <x:v>5</x:v>
      </x:c>
      <x:c r="C6" t="str">
        <x:v>Johor</x:v>
      </x:c>
      <x:c r="D6" s="12" t="n">
        <x:v>58.33</x:v>
      </x:c>
      <x:c r="E6" s="12" t="n">
        <x:v>-11.25</x:v>
      </x:c>
      <x:c r="F6" s="12" t="n">
        <x:v>1.88</x:v>
      </x:c>
      <x:c r="G6" s="12" t="n">
        <x:v>-3.4106833307175433</x:v>
      </x:c>
      <x:c r="H6" s="12" t="n">
        <x:v>-11.227631066433617</x:v>
      </x:c>
      <x:c r="I6" s="12" t="n">
        <x:v>4.406264404998529</x:v>
      </x:c>
      <x:c r="J6" t="str">
        <x:v>High screening priority</x:v>
      </x:c>
      <x:c r="K6" s="13" t="str">
        <x:v>Anchor impact mentioned in Reef Check report</x:v>
      </x:c>
      <x:c r="L6" s="13" t="str">
        <x:v>Inspect mooring availability and anchoring controls</x:v>
      </x:c>
      <x:c r="M6" s="13" t="str">
        <x:v>mixed - markdown primary, PDF filled gaps</x:v>
      </x:c>
    </x:row>
    <x:row r="7">
      <x:c r="A7" t="str">
        <x:v>Mensirip</x:v>
      </x:c>
      <x:c r="B7" t="n">
        <x:v>6</x:v>
      </x:c>
      <x:c r="C7" t="str">
        <x:v>Johor</x:v>
      </x:c>
      <x:c r="D7" s="12" t="n">
        <x:v>54.17</x:v>
      </x:c>
      <x:c r="E7" s="12" t="n">
        <x:v>-4.66</x:v>
      </x:c>
      <x:c r="F7" s="12" t="n">
        <x:v>1.88</x:v>
      </x:c>
      <x:c r="G7" s="12" t="n">
        <x:v>-3.188051107076818</x:v>
      </x:c>
      <x:c r="H7" s="12" t="n">
        <x:v>-11.00499884279289</x:v>
      </x:c>
      <x:c r="I7" s="12" t="n">
        <x:v>4.628896628639255</x:v>
      </x:c>
      <x:c r="J7" t="str">
        <x:v>High screening priority</x:v>
      </x:c>
      <x:c r="K7" s="13" t="str">
        <x:v>Waste or pollution indicator is elevated</x:v>
      </x:c>
      <x:c r="L7" s="13" t="str">
        <x:v>Inspect waste and wastewater controls</x:v>
      </x:c>
      <x:c r="M7" s="13" t="str">
        <x:v>mixed - markdown primary, PDF filled gaps</x:v>
      </x:c>
    </x:row>
    <x:row r="8">
      <x:c r="A8" t="str">
        <x:v>Tenggol</x:v>
      </x:c>
      <x:c r="B8" t="n">
        <x:v>7</x:v>
      </x:c>
      <x:c r="C8" t="str">
        <x:v>Terengganu</x:v>
      </x:c>
      <x:c r="D8" s="12" t="n">
        <x:v>54.17</x:v>
      </x:c>
      <x:c r="E8" s="12" t="n">
        <x:v>-2.91</x:v>
      </x:c>
      <x:c r="F8" s="12" t="n">
        <x:v>2.05</x:v>
      </x:c>
      <x:c r="G8" s="12" t="n">
        <x:v>-3.114732083281549</x:v>
      </x:c>
      <x:c r="H8" s="12" t="n">
        <x:v>-10.931679818997623</x:v>
      </x:c>
      <x:c r="I8" s="12" t="n">
        <x:v>4.702215652434524</x:v>
      </x:c>
      <x:c r="J8" t="str">
        <x:v>High screening priority</x:v>
      </x:c>
      <x:c r="K8" s="13" t="str">
        <x:v>Waste or pollution indicator is elevated</x:v>
      </x:c>
      <x:c r="L8" s="13" t="str">
        <x:v>Inspect waste and wastewater controls</x:v>
      </x:c>
      <x:c r="M8" s="13" t="str">
        <x:v>mixed - markdown primary, PDF filled gaps</x:v>
      </x:c>
    </x:row>
    <x:row r="9">
      <x:c r="A9" t="str">
        <x:v>Sibu</x:v>
      </x:c>
      <x:c r="B9" t="n">
        <x:v>8</x:v>
      </x:c>
      <x:c r="C9" t="str">
        <x:v>Johor</x:v>
      </x:c>
      <x:c r="D9" s="12" t="n">
        <x:v>52.81</x:v>
      </x:c>
      <x:c r="E9" s="12" t="n">
        <x:v>2.08</x:v>
      </x:c>
      <x:c r="F9" s="12" t="n">
        <x:v>1.88</x:v>
      </x:c>
      <x:c r="G9" s="12" t="n">
        <x:v>-3.1012994218603427</x:v>
      </x:c>
      <x:c r="H9" s="12" t="n">
        <x:v>-10.918247157576415</x:v>
      </x:c>
      <x:c r="I9" s="12" t="n">
        <x:v>4.715648313855731</x:v>
      </x:c>
      <x:c r="J9" t="str">
        <x:v>High screening priority</x:v>
      </x:c>
      <x:c r="K9" s="13" t="str">
        <x:v>Anchor impact mentioned in Reef Check report</x:v>
      </x:c>
      <x:c r="L9" s="13" t="str">
        <x:v>Inspect mooring availability and anchoring controls</x:v>
      </x:c>
      <x:c r="M9" s="13" t="str">
        <x:v>mixed - markdown primary, PDF filled gaps</x:v>
      </x:c>
    </x:row>
    <x:row r="10">
      <x:c r="A10" t="str">
        <x:v>Tinggi</x:v>
      </x:c>
      <x:c r="B10" t="n">
        <x:v>9</x:v>
      </x:c>
      <x:c r="C10" t="str">
        <x:v>Johor</x:v>
      </x:c>
      <x:c r="D10" s="12" t="n">
        <x:v>52.5</x:v>
      </x:c>
      <x:c r="E10" s="12" t="n">
        <x:v>-4.22</x:v>
      </x:c>
      <x:c r="F10" s="12" t="n">
        <x:v>1.88</x:v>
      </x:c>
      <x:c r="G10" s="12" t="n">
        <x:v>-2.97428177646884</x:v>
      </x:c>
      <x:c r="H10" s="12" t="n">
        <x:v>-10.791229512184913</x:v>
      </x:c>
      <x:c r="I10" s="12" t="n">
        <x:v>4.842665959247233</x:v>
      </x:c>
      <x:c r="J10" t="str">
        <x:v>High screening priority</x:v>
      </x:c>
      <x:c r="K10" s="13" t="str">
        <x:v>Anchor impact mentioned in Reef Check report</x:v>
      </x:c>
      <x:c r="L10" s="13" t="str">
        <x:v>Inspect mooring availability and anchoring controls</x:v>
      </x:c>
      <x:c r="M10" s="13" t="str">
        <x:v>mixed - markdown primary, PDF filled gaps</x:v>
      </x:c>
    </x:row>
    <x:row r="11">
      <x:c r="A11" t="str">
        <x:v>Tun Sakaran Marine Park</x:v>
      </x:c>
      <x:c r="B11" t="n">
        <x:v>10</x:v>
      </x:c>
      <x:c r="C11" t="str">
        <x:v>Sabah</x:v>
      </x:c>
      <x:c r="D11" s="12" t="n">
        <x:v>51.77</x:v>
      </x:c>
      <x:c r="E11" s="12" t="n">
        <x:v>-4.01</x:v>
      </x:c>
      <x:c r="F11" s="12" t="n">
        <x:v>4.04</x:v>
      </x:c>
      <x:c r="G11" s="12" t="n">
        <x:v>-2.9534172265123044</x:v>
      </x:c>
      <x:c r="H11" s="12" t="n">
        <x:v>-10.770364962228378</x:v>
      </x:c>
      <x:c r="I11" s="12" t="n">
        <x:v>4.863530509203768</x:v>
      </x:c>
      <x:c r="J11" t="str">
        <x:v>High screening priority</x:v>
      </x:c>
      <x:c r="K11" s="13" t="str">
        <x:v>NOAA thermal stress observed</x:v>
      </x:c>
      <x:c r="L11" s="13" t="str">
        <x:v>Coordinate bleaching survey; do not attribute thermal loss to visitors</x:v>
      </x:c>
      <x:c r="M11" s="13" t="str">
        <x:v>mixed - markdown primary, PDF filled gaps</x:v>
      </x:c>
    </x:row>
    <x:row r="12">
      <x:c r="A12" t="str">
        <x:v>Lima</x:v>
      </x:c>
      <x:c r="B12" t="n">
        <x:v>11</x:v>
      </x:c>
      <x:c r="C12" t="str">
        <x:v>Johor</x:v>
      </x:c>
      <x:c r="D12" s="12" t="n">
        <x:v>51.88</x:v>
      </x:c>
      <x:c r="E12" s="12" t="n">
        <x:v>-10.4</x:v>
      </x:c>
      <x:c r="F12" s="12" t="n">
        <x:v>1.88</x:v>
      </x:c>
      <x:c r="G12" s="12" t="n">
        <x:v>-2.758963521007372</x:v>
      </x:c>
      <x:c r="H12" s="12" t="n">
        <x:v>-10.575911256723444</x:v>
      </x:c>
      <x:c r="I12" s="12" t="n">
        <x:v>5.057984214708701</x:v>
      </x:c>
      <x:c r="J12" t="str">
        <x:v>Monitor</x:v>
      </x:c>
      <x:c r="K12" s="13" t="str">
        <x:v>Anchor impact mentioned in Reef Check report</x:v>
      </x:c>
      <x:c r="L12" s="13" t="str">
        <x:v>Inspect mooring availability and anchoring controls</x:v>
      </x:c>
      <x:c r="M12" s="13" t="str">
        <x:v>mixed - markdown primary, PDF filled gaps</x:v>
      </x:c>
    </x:row>
    <x:row r="13">
      <x:c r="A13" t="str">
        <x:v>Larapan</x:v>
      </x:c>
      <x:c r="B13" t="n">
        <x:v>12</x:v>
      </x:c>
      <x:c r="C13" t="str">
        <x:v>Sabah</x:v>
      </x:c>
      <x:c r="D13" s="12" t="n">
        <x:v>50.88</x:v>
      </x:c>
      <x:c r="E13" s="12" t="n">
        <x:v>-7.62</x:v>
      </x:c>
      <x:c r="F13" s="12" t="n">
        <x:v>4.04</x:v>
      </x:c>
      <x:c r="G13" s="12" t="n">
        <x:v>-2.6440714382070425</x:v>
      </x:c>
      <x:c r="H13" s="12" t="n">
        <x:v>-10.461019173923116</x:v>
      </x:c>
      <x:c r="I13" s="12" t="n">
        <x:v>5.17287629750903</x:v>
      </x:c>
      <x:c r="J13" t="str">
        <x:v>Monitor</x:v>
      </x:c>
      <x:c r="K13" s="13" t="str">
        <x:v>NOAA thermal stress observed</x:v>
      </x:c>
      <x:c r="L13" s="13" t="str">
        <x:v>Coordinate bleaching survey; do not attribute thermal loss to visitors</x:v>
      </x:c>
      <x:c r="M13" s="13" t="str">
        <x:v>mixed - markdown primary, PDF filled gaps</x:v>
      </x:c>
    </x:row>
    <x:row r="14">
      <x:c r="A14" t="str">
        <x:v>Sipadan</x:v>
      </x:c>
      <x:c r="B14" t="n">
        <x:v>13</x:v>
      </x:c>
      <x:c r="C14" t="str">
        <x:v>Sabah</x:v>
      </x:c>
      <x:c r="D14" s="12" t="n">
        <x:v>55.21</x:v>
      </x:c>
      <x:c r="E14" s="12" t="n">
        <x:v>-8.08</x:v>
      </x:c>
      <x:c r="F14" s="12" t="n">
        <x:v>4.04</x:v>
      </x:c>
      <x:c r="G14" s="12" t="n">
        <x:v>-2.2481154731525117</x:v>
      </x:c>
      <x:c r="H14" s="12" t="n">
        <x:v>-10.065063208868585</x:v>
      </x:c>
      <x:c r="I14" s="12" t="n">
        <x:v>5.568832262563561</x:v>
      </x:c>
      <x:c r="J14" t="str">
        <x:v>Monitor</x:v>
      </x:c>
      <x:c r="K14" s="13" t="str">
        <x:v>NOAA thermal stress observed</x:v>
      </x:c>
      <x:c r="L14" s="13" t="str">
        <x:v>Coordinate bleaching survey; do not attribute thermal loss to visitors</x:v>
      </x:c>
      <x:c r="M14" s="13" t="str">
        <x:v>mixed - markdown primary, PDF filled gaps</x:v>
      </x:c>
    </x:row>
    <x:row r="15">
      <x:c r="A15" t="str">
        <x:v>Penyu</x:v>
      </x:c>
      <x:c r="B15" t="n">
        <x:v>14</x:v>
      </x:c>
      <x:c r="C15" t="str">
        <x:v>Sabah</x:v>
      </x:c>
      <x:c r="D15" s="12" t="n">
        <x:v>37.77</x:v>
      </x:c>
      <x:c r="E15" s="12" t="n">
        <x:v>-1.53</x:v>
      </x:c>
      <x:c r="F15" s="12" t="n">
        <x:v>4.04</x:v>
      </x:c>
      <x:c r="G15" s="12" t="n">
        <x:v>-2.1621779697477406</x:v>
      </x:c>
      <x:c r="H15" s="12" t="n">
        <x:v>-9.979125705463813</x:v>
      </x:c>
      <x:c r="I15" s="12" t="n">
        <x:v>5.654769765968332</x:v>
      </x:c>
      <x:c r="J15" t="str">
        <x:v>Monitor</x:v>
      </x:c>
      <x:c r="K15" s="13" t="str">
        <x:v>NOAA thermal stress observed</x:v>
      </x:c>
      <x:c r="L15" s="13" t="str">
        <x:v>Coordinate bleaching survey; do not attribute thermal loss to visitors</x:v>
      </x:c>
      <x:c r="M15" s="13" t="str">
        <x:v>PDF geometry only - not cross-checked</x:v>
      </x:c>
    </x:row>
    <x:row r="16">
      <x:c r="A16" t="str">
        <x:v>Lahad Datu</x:v>
      </x:c>
      <x:c r="B16" t="n">
        <x:v>15</x:v>
      </x:c>
      <x:c r="C16" t="str">
        <x:v>Sabah</x:v>
      </x:c>
      <x:c r="D16" s="12" t="n">
        <x:v>41.42</x:v>
      </x:c>
      <x:c r="E16" s="12" t="n">
        <x:v>5.73</x:v>
      </x:c>
      <x:c r="F16" s="12" t="n">
        <x:v>4.04</x:v>
      </x:c>
      <x:c r="G16" s="12" t="n">
        <x:v>-2.0489812369413496</x:v>
      </x:c>
      <x:c r="H16" s="12" t="n">
        <x:v>-9.865928972657422</x:v>
      </x:c>
      <x:c r="I16" s="12" t="n">
        <x:v>5.767966498774723</x:v>
      </x:c>
      <x:c r="J16" t="str">
        <x:v>Monitor</x:v>
      </x:c>
      <x:c r="K16" s="13" t="str">
        <x:v>NOAA thermal stress observed</x:v>
      </x:c>
      <x:c r="L16" s="13" t="str">
        <x:v>Coordinate bleaching survey; do not attribute thermal loss to visitors</x:v>
      </x:c>
      <x:c r="M16" s="13" t="str">
        <x:v>mixed - markdown primary, PDF filled gaps</x:v>
      </x:c>
    </x:row>
    <x:row r="17">
      <x:c r="A17" t="str">
        <x:v>Harimau</x:v>
      </x:c>
      <x:c r="B17" t="n">
        <x:v>16</x:v>
      </x:c>
      <x:c r="C17" t="str">
        <x:v>Johor</x:v>
      </x:c>
      <x:c r="D17" s="12" t="n">
        <x:v>48.96</x:v>
      </x:c>
      <x:c r="E17" s="12" t="n">
        <x:v>-11.31</x:v>
      </x:c>
      <x:c r="F17" s="12" t="n">
        <x:v>1.88</x:v>
      </x:c>
      <x:c r="G17" s="12" t="n">
        <x:v>-1.5803754728809027</x:v>
      </x:c>
      <x:c r="H17" s="12" t="n">
        <x:v>-9.397323208596976</x:v>
      </x:c>
      <x:c r="I17" s="12" t="n">
        <x:v>6.23657226283517</x:v>
      </x:c>
      <x:c r="J17" t="str">
        <x:v>Monitor</x:v>
      </x:c>
      <x:c r="K17" s="13" t="str">
        <x:v>Waste or pollution indicator is elevated</x:v>
      </x:c>
      <x:c r="L17" s="13" t="str">
        <x:v>Inspect waste and wastewater controls</x:v>
      </x:c>
      <x:c r="M17" s="13" t="str">
        <x:v>mixed - markdown primary, PDF filled gaps</x:v>
      </x:c>
    </x:row>
    <x:row r="18">
      <x:c r="A18" t="str">
        <x:v>Tun Mustapha Park</x:v>
      </x:c>
      <x:c r="B18" t="n">
        <x:v>17</x:v>
      </x:c>
      <x:c r="C18" t="str">
        <x:v>Sabah</x:v>
      </x:c>
      <x:c r="D18" s="12" t="n">
        <x:v>40.35</x:v>
      </x:c>
      <x:c r="E18" s="12" t="n">
        <x:v>-4.48</x:v>
      </x:c>
      <x:c r="F18" s="12" t="n">
        <x:v>4.04</x:v>
      </x:c>
      <x:c r="G18" s="12" t="n">
        <x:v>-1.481713133217252</x:v>
      </x:c>
      <x:c r="H18" s="12" t="n">
        <x:v>-9.298660868933325</x:v>
      </x:c>
      <x:c r="I18" s="12" t="n">
        <x:v>6.33523460249882</x:v>
      </x:c>
      <x:c r="J18" t="str">
        <x:v>Monitor</x:v>
      </x:c>
      <x:c r="K18" s="13" t="str">
        <x:v>NOAA thermal stress observed</x:v>
      </x:c>
      <x:c r="L18" s="13" t="str">
        <x:v>Coordinate bleaching survey; do not attribute thermal loss to visitors</x:v>
      </x:c>
      <x:c r="M18" s="13" t="str">
        <x:v>mixed - markdown primary, PDF filled gaps</x:v>
      </x:c>
    </x:row>
    <x:row r="19">
      <x:c r="A19" t="str">
        <x:v>Tengah</x:v>
      </x:c>
      <x:c r="B19" t="n">
        <x:v>18</x:v>
      </x:c>
      <x:c r="C19" t="str">
        <x:v>Johor</x:v>
      </x:c>
      <x:c r="D19" s="12" t="n">
        <x:v>45.73</x:v>
      </x:c>
      <x:c r="E19" s="12" t="n">
        <x:v>-2.22</x:v>
      </x:c>
      <x:c r="F19" s="12" t="n">
        <x:v>1.88</x:v>
      </x:c>
      <x:c r="G19" s="12" t="n">
        <x:v>-1.323079917174559</x:v>
      </x:c>
      <x:c r="H19" s="12" t="n">
        <x:v>-9.140027652890632</x:v>
      </x:c>
      <x:c r="I19" s="12" t="n">
        <x:v>6.4938678185415135</x:v>
      </x:c>
      <x:c r="J19" t="str">
        <x:v>Monitor</x:v>
      </x:c>
      <x:c r="K19" s="13" t="str">
        <x:v>Waste or pollution indicator is elevated</x:v>
      </x:c>
      <x:c r="L19" s="13" t="str">
        <x:v>Inspect waste and wastewater controls</x:v>
      </x:c>
      <x:c r="M19" s="13" t="str">
        <x:v>mixed - markdown primary, PDF filled gaps</x:v>
      </x:c>
    </x:row>
    <x:row r="20">
      <x:c r="A20" t="str">
        <x:v>Gual</x:v>
      </x:c>
      <x:c r="B20" t="n">
        <x:v>19</x:v>
      </x:c>
      <x:c r="C20" t="str">
        <x:v>Johor</x:v>
      </x:c>
      <x:c r="D20" s="12" t="n">
        <x:v>45.31</x:v>
      </x:c>
      <x:c r="E20" s="12" t="n">
        <x:v>-10.45</x:v>
      </x:c>
      <x:c r="F20" s="12" t="n">
        <x:v>1.88</x:v>
      </x:c>
      <x:c r="G20" s="12" t="n">
        <x:v>-1.1781653308990432</x:v>
      </x:c>
      <x:c r="H20" s="12" t="n">
        <x:v>-8.995113066615115</x:v>
      </x:c>
      <x:c r="I20" s="12" t="n">
        <x:v>6.63878240481703</x:v>
      </x:c>
      <x:c r="J20" t="str">
        <x:v>Monitor</x:v>
      </x:c>
      <x:c r="K20" s="13" t="str">
        <x:v>Waste or pollution indicator is elevated</x:v>
      </x:c>
      <x:c r="L20" s="13" t="str">
        <x:v>Inspect waste and wastewater controls</x:v>
      </x:c>
      <x:c r="M20" s="13" t="str">
        <x:v>mixed - markdown primary, PDF filled gaps</x:v>
      </x:c>
    </x:row>
    <x:row r="21">
      <x:c r="A21" t="str">
        <x:v>Rawa</x:v>
      </x:c>
      <x:c r="B21" t="n">
        <x:v>20</x:v>
      </x:c>
      <x:c r="C21" t="str">
        <x:v>Johor</x:v>
      </x:c>
      <x:c r="D21" s="12" t="n">
        <x:v>48.85</x:v>
      </x:c>
      <x:c r="E21" s="12" t="n">
        <x:v>-7.68</x:v>
      </x:c>
      <x:c r="F21" s="12" t="n">
        <x:v>1.88</x:v>
      </x:c>
      <x:c r="G21" s="12" t="n">
        <x:v>-1.035977964748482</x:v>
      </x:c>
      <x:c r="H21" s="12" t="n">
        <x:v>-8.852925700464555</x:v>
      </x:c>
      <x:c r="I21" s="12" t="n">
        <x:v>6.780969770967591</x:v>
      </x:c>
      <x:c r="J21" t="str">
        <x:v>Monitor</x:v>
      </x:c>
      <x:c r="K21" s="13" t="str">
        <x:v>Waste or pollution indicator is elevated</x:v>
      </x:c>
      <x:c r="L21" s="13" t="str">
        <x:v>Inspect waste and wastewater controls</x:v>
      </x:c>
      <x:c r="M21" s="13" t="str">
        <x:v>mixed - markdown primary, PDF filled gaps</x:v>
      </x:c>
    </x:row>
    <x:row r="22">
      <x:c r="A22" t="str">
        <x:v>Besar</x:v>
      </x:c>
      <x:c r="B22" t="n">
        <x:v>21</x:v>
      </x:c>
      <x:c r="C22" t="str">
        <x:v>Johor</x:v>
      </x:c>
      <x:c r="D22" s="12" t="n">
        <x:v>43.04</x:v>
      </x:c>
      <x:c r="E22" s="12" t="n">
        <x:v>0.63</x:v>
      </x:c>
      <x:c r="F22" s="12" t="n">
        <x:v>1.88</x:v>
      </x:c>
      <x:c r="G22" s="12" t="n">
        <x:v>-0.788679043885757</x:v>
      </x:c>
      <x:c r="H22" s="12" t="n">
        <x:v>-8.60562677960183</x:v>
      </x:c>
      <x:c r="I22" s="12" t="n">
        <x:v>7.028268691830315</x:v>
      </x:c>
      <x:c r="J22" t="str">
        <x:v>Monitor</x:v>
      </x:c>
      <x:c r="K22" s="13" t="str">
        <x:v>Anchor impact mentioned in Reef Check report</x:v>
      </x:c>
      <x:c r="L22" s="13" t="str">
        <x:v>Inspect mooring availability and anchoring controls</x:v>
      </x:c>
      <x:c r="M22" s="13" t="str">
        <x:v>mixed - markdown primary, PDF filled gaps</x:v>
      </x:c>
    </x:row>
    <x:row r="23">
      <x:c r="A23" t="str">
        <x:v>Aur &amp; Dayang</x:v>
      </x:c>
      <x:c r="B23" t="n">
        <x:v>22</x:v>
      </x:c>
      <x:c r="C23" t="str">
        <x:v>Johor</x:v>
      </x:c>
      <x:c r="D23" s="12" t="n">
        <x:v>35.42</x:v>
      </x:c>
      <x:c r="E23" s="12" t="n">
        <x:v>-2.61</x:v>
      </x:c>
      <x:c r="F23" s="12" t="n">
        <x:v>1.88</x:v>
      </x:c>
      <x:c r="G23" s="12" t="n">
        <x:v>-0.6485864226237299</x:v>
      </x:c>
      <x:c r="H23" s="12" t="n">
        <x:v>-8.465534158339803</x:v>
      </x:c>
      <x:c r="I23" s="12" t="n">
        <x:v>7.168361313092343</x:v>
      </x:c>
      <x:c r="J23" t="str">
        <x:v>Monitor</x:v>
      </x:c>
      <x:c r="K23" s="13" t="str">
        <x:v>Anchor impact mentioned in Reef Check report</x:v>
      </x:c>
      <x:c r="L23" s="13" t="str">
        <x:v>Inspect mooring availability and anchoring controls</x:v>
      </x:c>
      <x:c r="M23" s="13" t="str">
        <x:v>PDF geometry only - not cross-checked</x:v>
      </x:c>
    </x:row>
    <x:row r="24">
      <x:c r="A24" t="str">
        <x:v>Hujung</x:v>
      </x:c>
      <x:c r="B24" t="n">
        <x:v>23</x:v>
      </x:c>
      <x:c r="C24" t="str">
        <x:v>Johor</x:v>
      </x:c>
      <x:c r="D24" s="12" t="n">
        <x:v>41.77</x:v>
      </x:c>
      <x:c r="E24" s="12" t="n">
        <x:v>-4.83</x:v>
      </x:c>
      <x:c r="F24" s="12" t="n">
        <x:v>1.88</x:v>
      </x:c>
      <x:c r="G24" s="12" t="n">
        <x:v>-0.5473993922626073</x:v>
      </x:c>
      <x:c r="H24" s="12" t="n">
        <x:v>-8.36434712797868</x:v>
      </x:c>
      <x:c r="I24" s="12" t="n">
        <x:v>7.269548343453465</x:v>
      </x:c>
      <x:c r="J24" t="str">
        <x:v>Monitor</x:v>
      </x:c>
      <x:c r="K24" s="13" t="str">
        <x:v>Anchor impact mentioned in Reef Check report</x:v>
      </x:c>
      <x:c r="L24" s="13" t="str">
        <x:v>Inspect mooring availability and anchoring controls</x:v>
      </x:c>
      <x:c r="M24" s="13" t="str">
        <x:v>mixed - markdown primary, PDF filled gaps</x:v>
      </x:c>
    </x:row>
    <x:row r="25">
      <x:c r="A25" t="str">
        <x:v>Port Dickson</x:v>
      </x:c>
      <x:c r="B25" t="n">
        <x:v>24</x:v>
      </x:c>
      <x:c r="C25" t="str">
        <x:v>Negeri Sembilan</x:v>
      </x:c>
      <x:c r="D25" s="12" t="n">
        <x:v>35.01</x:v>
      </x:c>
      <x:c r="E25" s="12" t="n">
        <x:v>-7.5</x:v>
      </x:c>
      <x:c r="F25" s="12" t="n">
        <x:v>2.05</x:v>
      </x:c>
      <x:c r="G25" s="12" t="n">
        <x:v>-0.5409071449266795</x:v>
      </x:c>
      <x:c r="H25" s="12" t="n">
        <x:v>-8.357854880642753</x:v>
      </x:c>
      <x:c r="I25" s="12" t="n">
        <x:v>7.2760405907893935</x:v>
      </x:c>
      <x:c r="J25" t="str">
        <x:v>Monitor</x:v>
      </x:c>
      <x:c r="K25" s="13" t="str">
        <x:v>Anchor impact mentioned in Reef Check report</x:v>
      </x:c>
      <x:c r="L25" s="13" t="str">
        <x:v>Inspect mooring availability and anchoring controls</x:v>
      </x:c>
      <x:c r="M25" s="13" t="str">
        <x:v>PDF geometry only - not cross-checked</x:v>
      </x:c>
    </x:row>
    <x:row r="26">
      <x:c r="A26" t="str">
        <x:v>Pemanggil</x:v>
      </x:c>
      <x:c r="B26" t="n">
        <x:v>25</x:v>
      </x:c>
      <x:c r="C26" t="str">
        <x:v>Johor</x:v>
      </x:c>
      <x:c r="D26" s="12" t="n">
        <x:v>43.75</x:v>
      </x:c>
      <x:c r="E26" s="12" t="n">
        <x:v>-3.75</x:v>
      </x:c>
      <x:c r="F26" s="12" t="n">
        <x:v>1.88</x:v>
      </x:c>
      <x:c r="G26" s="12" t="n">
        <x:v>-0.5027000154024915</x:v>
      </x:c>
      <x:c r="H26" s="12" t="n">
        <x:v>-8.319647751118564</x:v>
      </x:c>
      <x:c r="I26" s="12" t="n">
        <x:v>7.314247720313581</x:v>
      </x:c>
      <x:c r="J26" t="str">
        <x:v>Monitor</x:v>
      </x:c>
      <x:c r="K26" s="13" t="str">
        <x:v>Waste or pollution indicator is elevated</x:v>
      </x:c>
      <x:c r="L26" s="13" t="str">
        <x:v>Inspect waste and wastewater controls</x:v>
      </x:c>
      <x:c r="M26" s="13" t="str">
        <x:v>mixed - markdown primary, PDF filled gaps</x:v>
      </x:c>
    </x:row>
    <x:row r="27">
      <x:c r="A27" t="str">
        <x:v>Payar</x:v>
      </x:c>
      <x:c r="B27" t="n">
        <x:v>26</x:v>
      </x:c>
      <x:c r="C27" t="str">
        <x:v>Kedah</x:v>
      </x:c>
      <x:c r="D27" s="12" t="n">
        <x:v>42.29</x:v>
      </x:c>
      <x:c r="E27" s="12" t="n">
        <x:v>-6.84</x:v>
      </x:c>
      <x:c r="F27" s="12" t="n">
        <x:v>1.94</x:v>
      </x:c>
      <x:c r="G27" s="12" t="n">
        <x:v>-0.13678365451667862</x:v>
      </x:c>
      <x:c r="H27" s="12" t="n">
        <x:v>-7.953731390232751</x:v>
      </x:c>
      <x:c r="I27" s="12" t="n">
        <x:v>7.680164081199394</x:v>
      </x:c>
      <x:c r="J27" t="str">
        <x:v>Monitor</x:v>
      </x:c>
      <x:c r="K27" s="13" t="str">
        <x:v>Modelled decline; no single dominant observed stressor</x:v>
      </x:c>
      <x:c r="L27" s="13" t="str">
        <x:v>Prioritise field validation before imposing restrictions</x:v>
      </x:c>
      <x:c r="M27" s="13" t="str">
        <x:v>mixed - markdown primary, PDF filled gaps</x:v>
      </x:c>
    </x:row>
    <x:row r="28">
      <x:c r="A28" t="str">
        <x:v>Tioman</x:v>
      </x:c>
      <x:c r="B28" t="n">
        <x:v>27</x:v>
      </x:c>
      <x:c r="C28" t="str">
        <x:v>Pahang</x:v>
      </x:c>
      <x:c r="D28" s="12" t="n">
        <x:v>42.99</x:v>
      </x:c>
      <x:c r="E28" s="12" t="n">
        <x:v>-15.3</x:v>
      </x:c>
      <x:c r="F28" s="12" t="n">
        <x:v>1.88</x:v>
      </x:c>
      <x:c r="G28" s="12" t="n">
        <x:v>0.02987788617610798</x:v>
      </x:c>
      <x:c r="H28" s="12" t="n">
        <x:v>-7.787069849539964</x:v>
      </x:c>
      <x:c r="I28" s="12" t="n">
        <x:v>7.846825621892181</x:v>
      </x:c>
      <x:c r="J28" t="str">
        <x:v>Monitor</x:v>
      </x:c>
      <x:c r="K28" s="13" t="str">
        <x:v>Anchor impact mentioned in Reef Check report</x:v>
      </x:c>
      <x:c r="L28" s="13" t="str">
        <x:v>Inspect mooring availability and anchoring controls</x:v>
      </x:c>
      <x:c r="M28" s="13" t="str">
        <x:v>mixed - markdown primary, PDF filled gaps</x:v>
      </x:c>
    </x:row>
    <x:row r="29">
      <x:c r="A29" t="str">
        <x:v>Tunku Abdul Rahman Park</x:v>
      </x:c>
      <x:c r="B29" t="n">
        <x:v>28</x:v>
      </x:c>
      <x:c r="C29" t="str">
        <x:v>Sabah</x:v>
      </x:c>
      <x:c r="D29" s="12" t="n">
        <x:v>13.12</x:v>
      </x:c>
      <x:c r="E29" s="12" t="n">
        <x:v>-0.86</x:v>
      </x:c>
      <x:c r="F29" s="12" t="n">
        <x:v>4.04</x:v>
      </x:c>
      <x:c r="G29" s="12" t="n">
        <x:v>1.2117270510586418</x:v>
      </x:c>
      <x:c r="H29" s="12" t="n">
        <x:v>-6.605220684657431</x:v>
      </x:c>
      <x:c r="I29" s="12" t="n">
        <x:v>9.028674786774715</x:v>
      </x:c>
      <x:c r="J29" t="str">
        <x:v>Monitor</x:v>
      </x:c>
      <x:c r="K29" s="13" t="str">
        <x:v>NOAA thermal stress observed</x:v>
      </x:c>
      <x:c r="L29" s="13" t="str">
        <x:v>Coordinate bleaching survey; do not attribute thermal loss to visitors</x:v>
      </x:c>
      <x:c r="M29" s="13" t="str">
        <x:v>PDF geometry only - not cross-checked</x:v>
      </x:c>
    </x:row>
    <x:row r="30">
      <x:c r="A30" t="str">
        <x:v>Tiga</x:v>
      </x:c>
      <x:c r="B30" t="n">
        <x:v>29</x:v>
      </x:c>
      <x:c r="C30" t="str">
        <x:v>Sabah</x:v>
      </x:c>
      <x:c r="D30" s="12" t="n">
        <x:v>21.52</x:v>
      </x:c>
      <x:c r="E30" s="12" t="n">
        <x:v>-1.15</x:v>
      </x:c>
      <x:c r="F30" s="12" t="n">
        <x:v>4.04</x:v>
      </x:c>
      <x:c r="G30" s="12" t="n">
        <x:v>1.2428056018016607</x:v>
      </x:c>
      <x:c r="H30" s="12" t="n">
        <x:v>-6.574142133914412</x:v>
      </x:c>
      <x:c r="I30" s="12" t="n">
        <x:v>9.059753337517733</x:v>
      </x:c>
      <x:c r="J30" t="str">
        <x:v>Monitor</x:v>
      </x:c>
      <x:c r="K30" s="13" t="str">
        <x:v>NOAA thermal stress observed</x:v>
      </x:c>
      <x:c r="L30" s="13" t="str">
        <x:v>Coordinate bleaching survey; do not attribute thermal loss to visitors</x:v>
      </x:c>
      <x:c r="M30" s="13" t="str">
        <x:v>mixed - markdown primary, PDF filled gaps</x:v>
      </x:c>
    </x:row>
    <x:row r="31">
      <x:c r="A31" t="str">
        <x:v>Mataking</x:v>
      </x:c>
      <x:c r="B31" t="n">
        <x:v>30</x:v>
      </x:c>
      <x:c r="C31" t="str">
        <x:v>Sabah</x:v>
      </x:c>
      <x:c r="D31" s="12" t="n">
        <x:v>28.75</x:v>
      </x:c>
      <x:c r="E31" s="12" t="n">
        <x:v>1.86</x:v>
      </x:c>
      <x:c r="F31" s="12" t="n">
        <x:v>4.04</x:v>
      </x:c>
      <x:c r="G31" s="12" t="n">
        <x:v>1.2815552508327017</x:v>
      </x:c>
      <x:c r="H31" s="12" t="n">
        <x:v>-6.535392484883371</x:v>
      </x:c>
      <x:c r="I31" s="12" t="n">
        <x:v>9.098502986548775</x:v>
      </x:c>
      <x:c r="J31" t="str">
        <x:v>Monitor</x:v>
      </x:c>
      <x:c r="K31" s="13" t="str">
        <x:v>NOAA thermal stress observed</x:v>
      </x:c>
      <x:c r="L31" s="13" t="str">
        <x:v>Coordinate bleaching survey; do not attribute thermal loss to visitors</x:v>
      </x:c>
      <x:c r="M31" s="13" t="str">
        <x:v>mixed - markdown primary, PDF filled gaps</x:v>
      </x:c>
    </x:row>
    <x:row r="32">
      <x:c r="A32" t="str">
        <x:v>Rhu</x:v>
      </x:c>
      <x:c r="B32" t="n">
        <x:v>31</x:v>
      </x:c>
      <x:c r="C32" t="str">
        <x:v>Terengganu</x:v>
      </x:c>
      <x:c r="D32" s="12" t="n">
        <x:v>27.92</x:v>
      </x:c>
      <x:c r="E32" s="12" t="n">
        <x:v>-0.37</x:v>
      </x:c>
      <x:c r="F32" s="12" t="n">
        <x:v>2.05</x:v>
      </x:c>
      <x:c r="G32" s="12" t="n">
        <x:v>1.4497648825101899</x:v>
      </x:c>
      <x:c r="H32" s="12" t="n">
        <x:v>-6.3671828532058825</x:v>
      </x:c>
      <x:c r="I32" s="12" t="n">
        <x:v>9.266712618226263</x:v>
      </x:c>
      <x:c r="J32" t="str">
        <x:v>Monitor</x:v>
      </x:c>
      <x:c r="K32" s="13" t="str">
        <x:v>Modelled decline; no single dominant observed stressor</x:v>
      </x:c>
      <x:c r="L32" s="13" t="str">
        <x:v>Prioritise field validation before imposing restrictions</x:v>
      </x:c>
      <x:c r="M32" s="13" t="str">
        <x:v>mixed - markdown primary, PDF filled gaps</x:v>
      </x:c>
    </x:row>
    <x:row r="33">
      <x:c r="A33" t="str">
        <x:v>Perhentian</x:v>
      </x:c>
      <x:c r="B33" t="n">
        <x:v>32</x:v>
      </x:c>
      <x:c r="C33" t="str">
        <x:v>Terengganu</x:v>
      </x:c>
      <x:c r="D33" s="12" t="n">
        <x:v>32.44</x:v>
      </x:c>
      <x:c r="E33" s="12" t="n">
        <x:v>-6.75</x:v>
      </x:c>
      <x:c r="F33" s="12" t="n">
        <x:v>2.05</x:v>
      </x:c>
      <x:c r="G33" s="12" t="n">
        <x:v>1.4889014996905965</x:v>
      </x:c>
      <x:c r="H33" s="12" t="n">
        <x:v>-6.328046236025476</x:v>
      </x:c>
      <x:c r="I33" s="12" t="n">
        <x:v>9.305849235406669</x:v>
      </x:c>
      <x:c r="J33" t="str">
        <x:v>Monitor</x:v>
      </x:c>
      <x:c r="K33" s="13" t="str">
        <x:v>Waste or pollution indicator is elevated</x:v>
      </x:c>
      <x:c r="L33" s="13" t="str">
        <x:v>Inspect waste and wastewater controls</x:v>
      </x:c>
      <x:c r="M33" s="13" t="str">
        <x:v>mixed - markdown primary, PDF filled gaps</x:v>
      </x:c>
    </x:row>
    <x:row r="34">
      <x:c r="A34" t="str">
        <x:v>Mabul</x:v>
      </x:c>
      <x:c r="B34" t="n">
        <x:v>33</x:v>
      </x:c>
      <x:c r="C34" t="str">
        <x:v>Sabah</x:v>
      </x:c>
      <x:c r="D34" s="12" t="n">
        <x:v>26.56</x:v>
      </x:c>
      <x:c r="E34" s="12" t="n">
        <x:v>4.27</x:v>
      </x:c>
      <x:c r="F34" s="12" t="n">
        <x:v>4.04</x:v>
      </x:c>
      <x:c r="G34" s="12" t="n">
        <x:v>1.5169497819801754</x:v>
      </x:c>
      <x:c r="H34" s="12" t="n">
        <x:v>-6.299997953735898</x:v>
      </x:c>
      <x:c r="I34" s="12" t="n">
        <x:v>9.333897517696249</x:v>
      </x:c>
      <x:c r="J34" t="str">
        <x:v>Monitor</x:v>
      </x:c>
      <x:c r="K34" s="13" t="str">
        <x:v>NOAA thermal stress observed</x:v>
      </x:c>
      <x:c r="L34" s="13" t="str">
        <x:v>Coordinate bleaching survey; do not attribute thermal loss to visitors</x:v>
      </x:c>
      <x:c r="M34" s="13" t="str">
        <x:v>mixed - markdown primary, PDF filled gaps</x:v>
      </x:c>
    </x:row>
    <x:row r="35">
      <x:c r="A35" t="str">
        <x:v>Redang</x:v>
      </x:c>
      <x:c r="B35" t="n">
        <x:v>34</x:v>
      </x:c>
      <x:c r="C35" t="str">
        <x:v>Terengganu</x:v>
      </x:c>
      <x:c r="D35" s="12" t="n">
        <x:v>25.89</x:v>
      </x:c>
      <x:c r="E35" s="12" t="n">
        <x:v>-3.28</x:v>
      </x:c>
      <x:c r="F35" s="12" t="n">
        <x:v>2.05</x:v>
      </x:c>
      <x:c r="G35" s="12" t="n">
        <x:v>1.738492089099602</x:v>
      </x:c>
      <x:c r="H35" s="12" t="n">
        <x:v>-6.0784556466164705</x:v>
      </x:c>
      <x:c r="I35" s="12" t="n">
        <x:v>9.555439824815675</x:v>
      </x:c>
      <x:c r="J35" t="str">
        <x:v>Monitor</x:v>
      </x:c>
      <x:c r="K35" s="13" t="str">
        <x:v>Waste or pollution indicator is elevated</x:v>
      </x:c>
      <x:c r="L35" s="13" t="str">
        <x:v>Inspect waste and wastewater controls</x:v>
      </x:c>
      <x:c r="M35" s="13" t="str">
        <x:v>mixed - markdown primary, PDF filled gaps</x:v>
      </x:c>
    </x:row>
    <x:row r="36">
      <x:c r="A36" t="str">
        <x:v>Lang Tengah</x:v>
      </x:c>
      <x:c r="B36" t="n">
        <x:v>35</x:v>
      </x:c>
      <x:c r="C36" t="str">
        <x:v>Terengganu</x:v>
      </x:c>
      <x:c r="D36" s="12" t="n">
        <x:v>26.72</x:v>
      </x:c>
      <x:c r="E36" s="12" t="n">
        <x:v>-9.99</x:v>
      </x:c>
      <x:c r="F36" s="12" t="n">
        <x:v>2.05</x:v>
      </x:c>
      <x:c r="G36" s="12" t="n">
        <x:v>1.8974157077457106</x:v>
      </x:c>
      <x:c r="H36" s="12" t="n">
        <x:v>-5.919532027970362</x:v>
      </x:c>
      <x:c r="I36" s="12" t="n">
        <x:v>9.714363443461783</x:v>
      </x:c>
      <x:c r="J36" t="str">
        <x:v>Monitor</x:v>
      </x:c>
      <x:c r="K36" s="13" t="str">
        <x:v>Anchor impact mentioned in Reef Check report</x:v>
      </x:c>
      <x:c r="L36" s="13" t="str">
        <x:v>Inspect mooring availability and anchoring controls</x:v>
      </x:c>
      <x:c r="M36" s="13" t="str">
        <x:v>mixed - markdown primary, PDF filled gaps</x:v>
      </x:c>
    </x:row>
    <x:row r="37">
      <x:c r="A37" t="str">
        <x:v>Bidong &amp; Yu</x:v>
      </x:c>
      <x:c r="B37" t="n">
        <x:v>36</x:v>
      </x:c>
      <x:c r="C37" t="str">
        <x:v>Terengganu</x:v>
      </x:c>
      <x:c r="D37" s="12" t="n">
        <x:v>48.02</x:v>
      </x:c>
      <x:c r="E37" s="12" t="n">
        <x:v>-11.25</x:v>
      </x:c>
      <x:c r="F37" s="12" t="n">
        <x:v>2.05</x:v>
      </x:c>
      <x:c r="G37" s="12" t="n">
        <x:v>1.9334176190451071</x:v>
      </x:c>
      <x:c r="H37" s="12" t="n">
        <x:v>-5.883530116670966</x:v>
      </x:c>
      <x:c r="I37" s="12" t="n">
        <x:v>9.750365354761179</x:v>
      </x:c>
      <x:c r="J37" t="str">
        <x:v>Monitor</x:v>
      </x:c>
      <x:c r="K37" s="13" t="str">
        <x:v>Waste or pollution indicator is elevated</x:v>
      </x:c>
      <x:c r="L37" s="13" t="str">
        <x:v>Inspect waste and wastewater controls</x:v>
      </x:c>
      <x:c r="M37" s="13" t="str">
        <x:v>mixed - markdown primary, PDF filled gaps</x:v>
      </x:c>
    </x:row>
    <x:row r="38">
      <x:c r="A38" t="str">
        <x:v>Kapalai</x:v>
      </x:c>
      <x:c r="B38" t="n">
        <x:v>37</x:v>
      </x:c>
      <x:c r="C38" t="str">
        <x:v>Sabah</x:v>
      </x:c>
      <x:c r="D38" s="12" t="n">
        <x:v>14.69</x:v>
      </x:c>
      <x:c r="E38" s="12" t="n">
        <x:v>-5.81</x:v>
      </x:c>
      <x:c r="F38" s="12" t="n">
        <x:v>4.04</x:v>
      </x:c>
      <x:c r="G38" s="12" t="n">
        <x:v>2.632147476617847</x:v>
      </x:c>
      <x:c r="H38" s="12" t="n">
        <x:v>-5.184800259098226</x:v>
      </x:c>
      <x:c r="I38" s="12" t="n">
        <x:v>10.44909521233392</x:v>
      </x:c>
      <x:c r="J38" t="str">
        <x:v>Monitor</x:v>
      </x:c>
      <x:c r="K38" s="13" t="str">
        <x:v>NOAA thermal stress observed</x:v>
      </x:c>
      <x:c r="L38" s="13" t="str">
        <x:v>Coordinate bleaching survey; do not attribute thermal loss to visitors</x:v>
      </x:c>
      <x:c r="M38" s="13" t="str">
        <x:v>PDF geometry only - not cross-checked</x:v>
      </x:c>
    </x:row>
    <x:row r="39">
      <x:c r="A39" t="str">
        <x:v>Mantanani</x:v>
      </x:c>
      <x:c r="B39" t="n">
        <x:v>38</x:v>
      </x:c>
      <x:c r="C39" t="str">
        <x:v>Sabah</x:v>
      </x:c>
      <x:c r="D39" s="12" t="n">
        <x:v>22.55</x:v>
      </x:c>
      <x:c r="E39" s="12" t="n">
        <x:v>-10.29</x:v>
      </x:c>
      <x:c r="F39" s="12" t="n">
        <x:v>4.04</x:v>
      </x:c>
      <x:c r="G39" s="12" t="n">
        <x:v>2.697554737324977</x:v>
      </x:c>
      <x:c r="H39" s="12" t="n">
        <x:v>-5.1193929983910955</x:v>
      </x:c>
      <x:c r="I39" s="12" t="n">
        <x:v>10.51450247304105</x:v>
      </x:c>
      <x:c r="J39" t="str">
        <x:v>Monitor</x:v>
      </x:c>
      <x:c r="K39" s="13" t="str">
        <x:v>NOAA thermal stress observed</x:v>
      </x:c>
      <x:c r="L39" s="13" t="str">
        <x:v>Coordinate bleaching survey; do not attribute thermal loss to visitors</x:v>
      </x:c>
      <x:c r="M39" s="13" t="str">
        <x:v>PDF geometry only - not cross-checked</x:v>
      </x:c>
    </x:row>
    <x:row r="40">
      <x:c r="A40" t="str">
        <x:v>Usukan Cove</x:v>
      </x:c>
      <x:c r="B40" t="n">
        <x:v>39</x:v>
      </x:c>
      <x:c r="C40" t="str">
        <x:v>Sabah</x:v>
      </x:c>
      <x:c r="D40" s="12" t="n">
        <x:v>15.94</x:v>
      </x:c>
      <x:c r="E40" s="12" t="n">
        <x:v>-16.5</x:v>
      </x:c>
      <x:c r="F40" s="12" t="n">
        <x:v>4.04</x:v>
      </x:c>
      <x:c r="G40" s="12" t="n">
        <x:v>3.4898824541623727</x:v>
      </x:c>
      <x:c r="H40" s="12" t="n">
        <x:v>-4.3270652815537005</x:v>
      </x:c>
      <x:c r="I40" s="12" t="n">
        <x:v>11.306830189878445</x:v>
      </x:c>
      <x:c r="J40" t="str">
        <x:v>Monitor</x:v>
      </x:c>
      <x:c r="K40" s="13" t="str">
        <x:v>NOAA thermal stress observed</x:v>
      </x:c>
      <x:c r="L40" s="13" t="str">
        <x:v>Coordinate bleaching survey; do not attribute thermal loss to visitors</x:v>
      </x:c>
      <x:c r="M40" s="13" t="str">
        <x:v>mixed - markdown primary, PDF filled gaps</x:v>
      </x:c>
    </x:row>
    <x:row r="41">
      <x:c r="A41" t="str">
        <x:v>Malacca</x:v>
      </x:c>
      <x:c r="B41" t="n">
        <x:v>40</x:v>
      </x:c>
      <x:c r="C41" t="str">
        <x:v>Malacca</x:v>
      </x:c>
      <x:c r="D41" s="12" t="n">
        <x:v>32.12</x:v>
      </x:c>
      <x:c r="E41" s="12" t="n">
        <x:v>-1.04</x:v>
      </x:c>
      <x:c r="F41" s="12" t="n">
        <x:v>2.05</x:v>
      </x:c>
      <x:c r="G41" s="12" t="n">
        <x:v>5.8408948772012375</x:v>
      </x:c>
      <x:c r="H41" s="12" t="n">
        <x:v>-1.9760528585148354</x:v>
      </x:c>
      <x:c r="I41" s="12" t="n">
        <x:v>13.65784261291731</x:v>
      </x:c>
      <x:c r="J41" t="str">
        <x:v>Monitor</x:v>
      </x:c>
      <x:c r="K41" s="13" t="str">
        <x:v>Anchor impact mentioned in Reef Check report</x:v>
      </x:c>
      <x:c r="L41" s="13" t="str">
        <x:v>Inspect mooring availability and anchoring controls</x:v>
      </x:c>
      <x:c r="M41" s="13" t="str">
        <x:v>PDF geometry only - not cross-checked</x:v>
      </x:c>
    </x:row>
  </x:sheetData>
  <x:conditionalFormatting sqref="J2:J41">
    <x:cfRule type="containsText" dxfId="0" priority="1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4b99e95bacf6449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4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42" hidden="0" customWidth="1"/>
  </x:cols>
  <x:sheetData>
    <x:row r="1">
      <x:c r="A1" s="9" t="str">
        <x:v>Island</x:v>
      </x:c>
      <x:c r="B1" s="10" t="str">
        <x:v>State</x:v>
      </x:c>
      <x:c r="C1" s="10" t="str">
        <x:v>Survey year</x:v>
      </x:c>
      <x:c r="D1" s="10" t="str">
        <x:v>Live coral cover (%)</x:v>
      </x:c>
      <x:c r="E1" s="10" t="str">
        <x:v>Observed change (pp/yr)</x:v>
      </x:c>
      <x:c r="F1" s="10" t="str">
        <x:v>Max DHW</x:v>
      </x:c>
      <x:c r="G1" s="11" t="str">
        <x:v>Source confidence</x:v>
      </x:c>
    </x:row>
    <x:row r="2">
      <x:c r="A2" t="str">
        <x:v>Tioman</x:v>
      </x:c>
      <x:c r="B2" t="str">
        <x:v>Pahang</x:v>
      </x:c>
      <x:c r="C2" t="n">
        <x:v>2012</x:v>
      </x:c>
      <x:c r="D2" s="12" t="n">
        <x:v>55.81</x:v>
      </x:c>
      <x:c r="E2" s="12"/>
      <x:c r="F2" s="12" t="n">
        <x:v>0.15</x:v>
      </x:c>
      <x:c r="G2" t="str">
        <x:v>PDF geometry only - not cross-checked</x:v>
      </x:c>
    </x:row>
    <x:row r="3">
      <x:c r="A3" t="str">
        <x:v>Kapas</x:v>
      </x:c>
      <x:c r="B3" t="str">
        <x:v>Terengganu</x:v>
      </x:c>
      <x:c r="C3" t="n">
        <x:v>2012</x:v>
      </x:c>
      <x:c r="D3" s="12" t="n">
        <x:v>58.43</x:v>
      </x:c>
      <x:c r="E3" s="12"/>
      <x:c r="F3" s="12" t="n">
        <x:v>0.33</x:v>
      </x:c>
      <x:c r="G3" t="str">
        <x:v>PDF geometry only - not cross-checked</x:v>
      </x:c>
    </x:row>
    <x:row r="4">
      <x:c r="A4" t="str">
        <x:v>Babi Tengah</x:v>
      </x:c>
      <x:c r="B4" t="str">
        <x:v>Johor</x:v>
      </x:c>
      <x:c r="C4" t="n">
        <x:v>2013</x:v>
      </x:c>
      <x:c r="D4" s="12" t="n">
        <x:v>63.7</x:v>
      </x:c>
      <x:c r="E4" s="12"/>
      <x:c r="F4" s="12" t="n">
        <x:v>1.32</x:v>
      </x:c>
      <x:c r="G4" t="str">
        <x:v>PDF geometry only - not cross-checked</x:v>
      </x:c>
    </x:row>
    <x:row r="5">
      <x:c r="A5" t="str">
        <x:v>Pemanggil</x:v>
      </x:c>
      <x:c r="B5" t="str">
        <x:v>Johor</x:v>
      </x:c>
      <x:c r="C5" t="n">
        <x:v>2013</x:v>
      </x:c>
      <x:c r="D5" s="12" t="n">
        <x:v>48.78</x:v>
      </x:c>
      <x:c r="E5" s="12"/>
      <x:c r="F5" s="12" t="n">
        <x:v>1.32</x:v>
      </x:c>
      <x:c r="G5" t="str">
        <x:v>mixed - markdown primary, PDF filled gaps</x:v>
      </x:c>
    </x:row>
    <x:row r="6">
      <x:c r="A6" t="str">
        <x:v>Sibu &amp; Tinggi</x:v>
      </x:c>
      <x:c r="B6" t="str">
        <x:v>Johor</x:v>
      </x:c>
      <x:c r="C6" t="n">
        <x:v>2013</x:v>
      </x:c>
      <x:c r="D6" s="12" t="n">
        <x:v>55.84</x:v>
      </x:c>
      <x:c r="E6" s="12"/>
      <x:c r="F6" s="12" t="n">
        <x:v>1.32</x:v>
      </x:c>
      <x:c r="G6" t="str">
        <x:v>mixed - markdown primary, PDF filled gaps</x:v>
      </x:c>
    </x:row>
    <x:row r="7">
      <x:c r="A7" t="str">
        <x:v>Tioman</x:v>
      </x:c>
      <x:c r="B7" t="str">
        <x:v>Pahang</x:v>
      </x:c>
      <x:c r="C7" t="n">
        <x:v>2013</x:v>
      </x:c>
      <x:c r="D7" s="12" t="n">
        <x:v>55.81</x:v>
      </x:c>
      <x:c r="E7" s="12" t="n">
        <x:v>0</x:v>
      </x:c>
      <x:c r="F7" s="12" t="n">
        <x:v>1.32</x:v>
      </x:c>
      <x:c r="G7" t="str">
        <x:v>markdown only</x:v>
      </x:c>
    </x:row>
    <x:row r="8">
      <x:c r="A8" t="str">
        <x:v>Sembilan</x:v>
      </x:c>
      <x:c r="B8" t="str">
        <x:v>Perak</x:v>
      </x:c>
      <x:c r="C8" t="n">
        <x:v>2013</x:v>
      </x:c>
      <x:c r="D8" s="12" t="n">
        <x:v>44.61</x:v>
      </x:c>
      <x:c r="E8" s="12"/>
      <x:c r="F8" s="12" t="n">
        <x:v>2.69</x:v>
      </x:c>
      <x:c r="G8" t="str">
        <x:v>mixed - markdown primary, PDF filled gaps</x:v>
      </x:c>
    </x:row>
    <x:row r="9">
      <x:c r="A9" t="str">
        <x:v>Kota Belud</x:v>
      </x:c>
      <x:c r="B9" t="str">
        <x:v>Sabah</x:v>
      </x:c>
      <x:c r="C9" t="n">
        <x:v>2013</x:v>
      </x:c>
      <x:c r="D9" s="12" t="n">
        <x:v>17.41</x:v>
      </x:c>
      <x:c r="E9" s="12"/>
      <x:c r="F9" s="12" t="n">
        <x:v>1.88</x:v>
      </x:c>
      <x:c r="G9" t="str">
        <x:v>mixed - markdown primary, PDF filled gaps</x:v>
      </x:c>
    </x:row>
    <x:row r="10">
      <x:c r="A10" t="str">
        <x:v>Labuan</x:v>
      </x:c>
      <x:c r="B10" t="str">
        <x:v>Sabah</x:v>
      </x:c>
      <x:c r="C10" t="n">
        <x:v>2013</x:v>
      </x:c>
      <x:c r="D10" s="12" t="n">
        <x:v>56.23</x:v>
      </x:c>
      <x:c r="E10" s="12"/>
      <x:c r="F10" s="12" t="n">
        <x:v>1.88</x:v>
      </x:c>
      <x:c r="G10" t="str">
        <x:v>mixed - markdown primary, PDF filled gaps</x:v>
      </x:c>
    </x:row>
    <x:row r="11">
      <x:c r="A11" t="str">
        <x:v>Lahad Datu</x:v>
      </x:c>
      <x:c r="B11" t="str">
        <x:v>Sabah</x:v>
      </x:c>
      <x:c r="C11" t="n">
        <x:v>2013</x:v>
      </x:c>
      <x:c r="D11" s="12" t="n">
        <x:v>40.87</x:v>
      </x:c>
      <x:c r="E11" s="12"/>
      <x:c r="F11" s="12" t="n">
        <x:v>1.88</x:v>
      </x:c>
      <x:c r="G11" t="str">
        <x:v>mixed - markdown primary, PDF filled gaps</x:v>
      </x:c>
    </x:row>
    <x:row r="12">
      <x:c r="A12" t="str">
        <x:v>Lankayan</x:v>
      </x:c>
      <x:c r="B12" t="str">
        <x:v>Sabah</x:v>
      </x:c>
      <x:c r="C12" t="n">
        <x:v>2013</x:v>
      </x:c>
      <x:c r="D12" s="12" t="n">
        <x:v>54.04</x:v>
      </x:c>
      <x:c r="E12" s="12"/>
      <x:c r="F12" s="12" t="n">
        <x:v>1.88</x:v>
      </x:c>
      <x:c r="G12" t="str">
        <x:v>mixed - markdown primary, PDF filled gaps</x:v>
      </x:c>
    </x:row>
    <x:row r="13">
      <x:c r="A13" t="str">
        <x:v>Mantanani</x:v>
      </x:c>
      <x:c r="B13" t="str">
        <x:v>Sabah</x:v>
      </x:c>
      <x:c r="C13" t="n">
        <x:v>2013</x:v>
      </x:c>
      <x:c r="D13" s="12" t="n">
        <x:v>40.63</x:v>
      </x:c>
      <x:c r="E13" s="12"/>
      <x:c r="F13" s="12" t="n">
        <x:v>1.88</x:v>
      </x:c>
      <x:c r="G13" t="str">
        <x:v>verified - markdown corrected an error in the PDF pass</x:v>
      </x:c>
    </x:row>
    <x:row r="14">
      <x:c r="A14" t="str">
        <x:v>Mataking</x:v>
      </x:c>
      <x:c r="B14" t="str">
        <x:v>Sabah</x:v>
      </x:c>
      <x:c r="C14" t="n">
        <x:v>2013</x:v>
      </x:c>
      <x:c r="D14" s="12" t="n">
        <x:v>36.29</x:v>
      </x:c>
      <x:c r="E14" s="12"/>
      <x:c r="F14" s="12" t="n">
        <x:v>1.88</x:v>
      </x:c>
      <x:c r="G14" t="str">
        <x:v>mixed - markdown primary, PDF filled gaps</x:v>
      </x:c>
    </x:row>
    <x:row r="15">
      <x:c r="A15" t="str">
        <x:v>Semporna</x:v>
      </x:c>
      <x:c r="B15" t="str">
        <x:v>Sabah</x:v>
      </x:c>
      <x:c r="C15" t="n">
        <x:v>2013</x:v>
      </x:c>
      <x:c r="D15" s="12" t="n">
        <x:v>25.98</x:v>
      </x:c>
      <x:c r="E15" s="12"/>
      <x:c r="F15" s="12" t="n">
        <x:v>1.88</x:v>
      </x:c>
      <x:c r="G15" t="str">
        <x:v>mixed - markdown primary, PDF filled gaps</x:v>
      </x:c>
    </x:row>
    <x:row r="16">
      <x:c r="A16" t="str">
        <x:v>Tun Sakaran Marine Park</x:v>
      </x:c>
      <x:c r="B16" t="str">
        <x:v>Sabah</x:v>
      </x:c>
      <x:c r="C16" t="n">
        <x:v>2013</x:v>
      </x:c>
      <x:c r="D16" s="12" t="n">
        <x:v>43.2</x:v>
      </x:c>
      <x:c r="E16" s="12"/>
      <x:c r="F16" s="12" t="n">
        <x:v>1.88</x:v>
      </x:c>
      <x:c r="G16" t="str">
        <x:v>mixed - markdown primary, PDF filled gaps</x:v>
      </x:c>
    </x:row>
    <x:row r="17">
      <x:c r="A17" t="str">
        <x:v>Tunku Abdul Rahman Park</x:v>
      </x:c>
      <x:c r="B17" t="str">
        <x:v>Sabah</x:v>
      </x:c>
      <x:c r="C17" t="n">
        <x:v>2013</x:v>
      </x:c>
      <x:c r="D17" s="12" t="n">
        <x:v>40</x:v>
      </x:c>
      <x:c r="E17" s="12"/>
      <x:c r="F17" s="12" t="n">
        <x:v>1.88</x:v>
      </x:c>
      <x:c r="G17" t="str">
        <x:v>mixed - markdown primary, PDF filled gaps</x:v>
      </x:c>
    </x:row>
    <x:row r="18">
      <x:c r="A18" t="str">
        <x:v>Kuching</x:v>
      </x:c>
      <x:c r="B18" t="str">
        <x:v>Sarawak</x:v>
      </x:c>
      <x:c r="C18" t="n">
        <x:v>2013</x:v>
      </x:c>
      <x:c r="D18" s="12" t="n">
        <x:v>75.7</x:v>
      </x:c>
      <x:c r="E18" s="12"/>
      <x:c r="F18" s="12" t="n">
        <x:v>1.85</x:v>
      </x:c>
      <x:c r="G18" t="str">
        <x:v>mixed - markdown primary, PDF filled gaps</x:v>
      </x:c>
    </x:row>
    <x:row r="19">
      <x:c r="A19" t="str">
        <x:v>Miri</x:v>
      </x:c>
      <x:c r="B19" t="str">
        <x:v>Sarawak</x:v>
      </x:c>
      <x:c r="C19" t="n">
        <x:v>2013</x:v>
      </x:c>
      <x:c r="D19" s="12" t="n">
        <x:v>53.1</x:v>
      </x:c>
      <x:c r="E19" s="12"/>
      <x:c r="F19" s="12" t="n">
        <x:v>1.85</x:v>
      </x:c>
      <x:c r="G19" t="str">
        <x:v>mixed - markdown primary, PDF filled gaps</x:v>
      </x:c>
    </x:row>
    <x:row r="20">
      <x:c r="A20" t="str">
        <x:v>Bidong &amp; Yu</x:v>
      </x:c>
      <x:c r="B20" t="str">
        <x:v>Terengganu</x:v>
      </x:c>
      <x:c r="C20" t="n">
        <x:v>2013</x:v>
      </x:c>
      <x:c r="D20" s="12" t="n">
        <x:v>54.53</x:v>
      </x:c>
      <x:c r="E20" s="12"/>
      <x:c r="F20" s="12" t="n">
        <x:v>2.73</x:v>
      </x:c>
      <x:c r="G20" t="str">
        <x:v>mixed - markdown primary, PDF filled gaps</x:v>
      </x:c>
    </x:row>
    <x:row r="21">
      <x:c r="A21" t="str">
        <x:v>Kapas</x:v>
      </x:c>
      <x:c r="B21" t="str">
        <x:v>Terengganu</x:v>
      </x:c>
      <x:c r="C21" t="n">
        <x:v>2013</x:v>
      </x:c>
      <x:c r="D21" s="12" t="n">
        <x:v>58.43</x:v>
      </x:c>
      <x:c r="E21" s="12" t="n">
        <x:v>0</x:v>
      </x:c>
      <x:c r="F21" s="12" t="n">
        <x:v>2.73</x:v>
      </x:c>
      <x:c r="G21" t="str">
        <x:v>markdown only</x:v>
      </x:c>
    </x:row>
    <x:row r="22">
      <x:c r="A22" t="str">
        <x:v>Perhentian</x:v>
      </x:c>
      <x:c r="B22" t="str">
        <x:v>Terengganu</x:v>
      </x:c>
      <x:c r="C22" t="n">
        <x:v>2013</x:v>
      </x:c>
      <x:c r="D22" s="12" t="n">
        <x:v>56.63</x:v>
      </x:c>
      <x:c r="E22" s="12"/>
      <x:c r="F22" s="12" t="n">
        <x:v>2.73</x:v>
      </x:c>
      <x:c r="G22" t="str">
        <x:v>PDF geometry only - not cross-checked</x:v>
      </x:c>
    </x:row>
    <x:row r="23">
      <x:c r="A23" t="str">
        <x:v>Redang</x:v>
      </x:c>
      <x:c r="B23" t="str">
        <x:v>Terengganu</x:v>
      </x:c>
      <x:c r="C23" t="n">
        <x:v>2013</x:v>
      </x:c>
      <x:c r="D23" s="12" t="n">
        <x:v>54.83</x:v>
      </x:c>
      <x:c r="E23" s="12"/>
      <x:c r="F23" s="12" t="n">
        <x:v>2.73</x:v>
      </x:c>
      <x:c r="G23" t="str">
        <x:v>mixed - markdown primary, PDF filled gaps</x:v>
      </x:c>
    </x:row>
    <x:row r="24">
      <x:c r="A24" t="str">
        <x:v>Tenggol</x:v>
      </x:c>
      <x:c r="B24" t="str">
        <x:v>Terengganu</x:v>
      </x:c>
      <x:c r="C24" t="n">
        <x:v>2013</x:v>
      </x:c>
      <x:c r="D24" s="12" t="n">
        <x:v>56.2</x:v>
      </x:c>
      <x:c r="E24" s="12"/>
      <x:c r="F24" s="12" t="n">
        <x:v>2.73</x:v>
      </x:c>
      <x:c r="G24" t="str">
        <x:v>mixed - markdown primary, PDF filled gaps</x:v>
      </x:c>
    </x:row>
    <x:row r="25">
      <x:c r="A25" t="str">
        <x:v>Pemanggil</x:v>
      </x:c>
      <x:c r="B25" t="str">
        <x:v>Johor</x:v>
      </x:c>
      <x:c r="C25" t="n">
        <x:v>2014</x:v>
      </x:c>
      <x:c r="D25" s="12" t="n">
        <x:v>54.07</x:v>
      </x:c>
      <x:c r="E25" s="12" t="n">
        <x:v>5.29</x:v>
      </x:c>
      <x:c r="F25" s="12" t="n">
        <x:v>1.47</x:v>
      </x:c>
      <x:c r="G25" t="str">
        <x:v>mixed - markdown primary, PDF filled gaps</x:v>
      </x:c>
    </x:row>
    <x:row r="26">
      <x:c r="A26" t="str">
        <x:v>Sibu</x:v>
      </x:c>
      <x:c r="B26" t="str">
        <x:v>Johor</x:v>
      </x:c>
      <x:c r="C26" t="n">
        <x:v>2014</x:v>
      </x:c>
      <x:c r="D26" s="12" t="n">
        <x:v>46.66</x:v>
      </x:c>
      <x:c r="E26" s="12"/>
      <x:c r="F26" s="12" t="n">
        <x:v>1.47</x:v>
      </x:c>
      <x:c r="G26" t="str">
        <x:v>mixed - markdown primary, PDF filled gaps</x:v>
      </x:c>
    </x:row>
    <x:row r="27">
      <x:c r="A27" t="str">
        <x:v>Tinggi</x:v>
      </x:c>
      <x:c r="B27" t="str">
        <x:v>Johor</x:v>
      </x:c>
      <x:c r="C27" t="n">
        <x:v>2014</x:v>
      </x:c>
      <x:c r="D27" s="12" t="n">
        <x:v>61.88</x:v>
      </x:c>
      <x:c r="E27" s="12"/>
      <x:c r="F27" s="12" t="n">
        <x:v>1.47</x:v>
      </x:c>
      <x:c r="G27" t="str">
        <x:v>mixed - markdown primary, PDF filled gaps</x:v>
      </x:c>
    </x:row>
    <x:row r="28">
      <x:c r="A28" t="str">
        <x:v>Tioman</x:v>
      </x:c>
      <x:c r="B28" t="str">
        <x:v>Pahang</x:v>
      </x:c>
      <x:c r="C28" t="n">
        <x:v>2014</x:v>
      </x:c>
      <x:c r="D28" s="12" t="n">
        <x:v>60.4</x:v>
      </x:c>
      <x:c r="E28" s="12" t="n">
        <x:v>4.59</x:v>
      </x:c>
      <x:c r="F28" s="12" t="n">
        <x:v>1.47</x:v>
      </x:c>
      <x:c r="G28" t="str">
        <x:v>mixed - markdown primary, PDF filled gaps</x:v>
      </x:c>
    </x:row>
    <x:row r="29">
      <x:c r="A29" t="str">
        <x:v>Pangkor Laut</x:v>
      </x:c>
      <x:c r="B29" t="str">
        <x:v>Perak</x:v>
      </x:c>
      <x:c r="C29" t="n">
        <x:v>2014</x:v>
      </x:c>
      <x:c r="D29" s="12" t="n">
        <x:v>55.63</x:v>
      </x:c>
      <x:c r="E29" s="12"/>
      <x:c r="F29" s="12" t="n">
        <x:v>1.2</x:v>
      </x:c>
      <x:c r="G29" t="str">
        <x:v>mixed - markdown primary, PDF filled gaps</x:v>
      </x:c>
    </x:row>
    <x:row r="30">
      <x:c r="A30" t="str">
        <x:v>Sembilan</x:v>
      </x:c>
      <x:c r="B30" t="str">
        <x:v>Perak</x:v>
      </x:c>
      <x:c r="C30" t="n">
        <x:v>2014</x:v>
      </x:c>
      <x:c r="D30" s="12" t="n">
        <x:v>33.91</x:v>
      </x:c>
      <x:c r="E30" s="12" t="n">
        <x:v>-10.7</x:v>
      </x:c>
      <x:c r="F30" s="12" t="n">
        <x:v>1.2</x:v>
      </x:c>
      <x:c r="G30" t="str">
        <x:v>mixed - markdown primary, PDF filled gaps</x:v>
      </x:c>
    </x:row>
    <x:row r="31">
      <x:c r="A31" t="str">
        <x:v>Lahad Datu</x:v>
      </x:c>
      <x:c r="B31" t="str">
        <x:v>Sabah</x:v>
      </x:c>
      <x:c r="C31" t="n">
        <x:v>2014</x:v>
      </x:c>
      <x:c r="D31" s="12" t="n">
        <x:v>41.58</x:v>
      </x:c>
      <x:c r="E31" s="12" t="n">
        <x:v>0.71</x:v>
      </x:c>
      <x:c r="F31" s="12" t="n">
        <x:v>5.17</x:v>
      </x:c>
      <x:c r="G31" t="str">
        <x:v>mixed - markdown primary, PDF filled gaps</x:v>
      </x:c>
    </x:row>
    <x:row r="32">
      <x:c r="A32" t="str">
        <x:v>Lankayan</x:v>
      </x:c>
      <x:c r="B32" t="str">
        <x:v>Sabah</x:v>
      </x:c>
      <x:c r="C32" t="n">
        <x:v>2014</x:v>
      </x:c>
      <x:c r="D32" s="12" t="n">
        <x:v>46.29</x:v>
      </x:c>
      <x:c r="E32" s="12" t="n">
        <x:v>-7.75</x:v>
      </x:c>
      <x:c r="F32" s="12" t="n">
        <x:v>5.17</x:v>
      </x:c>
      <x:c r="G32" t="str">
        <x:v>mixed - markdown primary, PDF filled gaps</x:v>
      </x:c>
    </x:row>
    <x:row r="33">
      <x:c r="A33" t="str">
        <x:v>Mantanani</x:v>
      </x:c>
      <x:c r="B33" t="str">
        <x:v>Sabah</x:v>
      </x:c>
      <x:c r="C33" t="n">
        <x:v>2014</x:v>
      </x:c>
      <x:c r="D33" s="12" t="n">
        <x:v>43.3</x:v>
      </x:c>
      <x:c r="E33" s="12" t="n">
        <x:v>2.67</x:v>
      </x:c>
      <x:c r="F33" s="12" t="n">
        <x:v>5.17</x:v>
      </x:c>
      <x:c r="G33" t="str">
        <x:v>markdown only</x:v>
      </x:c>
    </x:row>
    <x:row r="34">
      <x:c r="A34" t="str">
        <x:v>Mataking &amp; Pom Pom</x:v>
      </x:c>
      <x:c r="B34" t="str">
        <x:v>Sabah</x:v>
      </x:c>
      <x:c r="C34" t="n">
        <x:v>2014</x:v>
      </x:c>
      <x:c r="D34" s="12" t="n">
        <x:v>27.04</x:v>
      </x:c>
      <x:c r="E34" s="12"/>
      <x:c r="F34" s="12" t="n">
        <x:v>5.17</x:v>
      </x:c>
      <x:c r="G34" t="str">
        <x:v>mixed - markdown primary, PDF filled gaps</x:v>
      </x:c>
    </x:row>
    <x:row r="35">
      <x:c r="A35" t="str">
        <x:v>Semporna</x:v>
      </x:c>
      <x:c r="B35" t="str">
        <x:v>Sabah</x:v>
      </x:c>
      <x:c r="C35" t="n">
        <x:v>2014</x:v>
      </x:c>
      <x:c r="D35" s="12" t="n">
        <x:v>39.94</x:v>
      </x:c>
      <x:c r="E35" s="12" t="n">
        <x:v>13.96</x:v>
      </x:c>
      <x:c r="F35" s="12" t="n">
        <x:v>5.17</x:v>
      </x:c>
      <x:c r="G35" t="str">
        <x:v>mixed - markdown primary, PDF filled gaps</x:v>
      </x:c>
    </x:row>
    <x:row r="36">
      <x:c r="A36" t="str">
        <x:v>Sipadan</x:v>
      </x:c>
      <x:c r="B36" t="str">
        <x:v>Sabah</x:v>
      </x:c>
      <x:c r="C36" t="n">
        <x:v>2014</x:v>
      </x:c>
      <x:c r="D36" s="12" t="n">
        <x:v>60.4</x:v>
      </x:c>
      <x:c r="E36" s="12"/>
      <x:c r="F36" s="12" t="n">
        <x:v>5.17</x:v>
      </x:c>
      <x:c r="G36" t="str">
        <x:v>mixed - markdown primary, PDF filled gaps</x:v>
      </x:c>
    </x:row>
    <x:row r="37">
      <x:c r="A37" t="str">
        <x:v>Tun Sakaran Marine Park</x:v>
      </x:c>
      <x:c r="B37" t="str">
        <x:v>Sabah</x:v>
      </x:c>
      <x:c r="C37" t="n">
        <x:v>2014</x:v>
      </x:c>
      <x:c r="D37" s="12" t="n">
        <x:v>50.4</x:v>
      </x:c>
      <x:c r="E37" s="12" t="n">
        <x:v>7.2</x:v>
      </x:c>
      <x:c r="F37" s="12" t="n">
        <x:v>5.17</x:v>
      </x:c>
      <x:c r="G37" t="str">
        <x:v>mixed - markdown primary, PDF filled gaps</x:v>
      </x:c>
    </x:row>
    <x:row r="38">
      <x:c r="A38" t="str">
        <x:v>Tunku Abdul Rahman Park</x:v>
      </x:c>
      <x:c r="B38" t="str">
        <x:v>Sabah</x:v>
      </x:c>
      <x:c r="C38" t="n">
        <x:v>2014</x:v>
      </x:c>
      <x:c r="D38" s="12" t="n">
        <x:v>38.46</x:v>
      </x:c>
      <x:c r="E38" s="12" t="n">
        <x:v>-1.54</x:v>
      </x:c>
      <x:c r="F38" s="12" t="n">
        <x:v>5.17</x:v>
      </x:c>
      <x:c r="G38" t="str">
        <x:v>mixed - markdown primary, PDF filled gaps</x:v>
      </x:c>
    </x:row>
    <x:row r="39">
      <x:c r="A39" t="str">
        <x:v>Usukan Cove</x:v>
      </x:c>
      <x:c r="B39" t="str">
        <x:v>Sabah</x:v>
      </x:c>
      <x:c r="C39" t="n">
        <x:v>2014</x:v>
      </x:c>
      <x:c r="D39" s="12" t="n">
        <x:v>38.44</x:v>
      </x:c>
      <x:c r="E39" s="12"/>
      <x:c r="F39" s="12" t="n">
        <x:v>5.17</x:v>
      </x:c>
      <x:c r="G39" t="str">
        <x:v>mixed - markdown primary, PDF filled gaps</x:v>
      </x:c>
    </x:row>
    <x:row r="40">
      <x:c r="A40" t="str">
        <x:v>Kuching</x:v>
      </x:c>
      <x:c r="B40" t="str">
        <x:v>Sarawak</x:v>
      </x:c>
      <x:c r="C40" t="n">
        <x:v>2014</x:v>
      </x:c>
      <x:c r="D40" s="12" t="n">
        <x:v>55</x:v>
      </x:c>
      <x:c r="E40" s="12" t="n">
        <x:v>-20.7</x:v>
      </x:c>
      <x:c r="F40" s="12" t="n">
        <x:v>1.24</x:v>
      </x:c>
      <x:c r="G40" t="str">
        <x:v>mixed - markdown primary, PDF filled gaps</x:v>
      </x:c>
    </x:row>
    <x:row r="41">
      <x:c r="A41" t="str">
        <x:v>Miri</x:v>
      </x:c>
      <x:c r="B41" t="str">
        <x:v>Sarawak</x:v>
      </x:c>
      <x:c r="C41" t="n">
        <x:v>2014</x:v>
      </x:c>
      <x:c r="D41" s="12" t="n">
        <x:v>52.08</x:v>
      </x:c>
      <x:c r="E41" s="12" t="n">
        <x:v>-1.02</x:v>
      </x:c>
      <x:c r="F41" s="12" t="n">
        <x:v>1.24</x:v>
      </x:c>
      <x:c r="G41" t="str">
        <x:v>mixed - markdown primary, PDF filled gaps</x:v>
      </x:c>
    </x:row>
    <x:row r="42">
      <x:c r="A42" t="str">
        <x:v>Bidong &amp; Yu</x:v>
      </x:c>
      <x:c r="B42" t="str">
        <x:v>Terengganu</x:v>
      </x:c>
      <x:c r="C42" t="n">
        <x:v>2014</x:v>
      </x:c>
      <x:c r="D42" s="12" t="n">
        <x:v>54.58</x:v>
      </x:c>
      <x:c r="E42" s="12" t="n">
        <x:v>0.05</x:v>
      </x:c>
      <x:c r="F42" s="12" t="n">
        <x:v>5.79</x:v>
      </x:c>
      <x:c r="G42" t="str">
        <x:v>mixed - markdown primary, PDF filled gaps</x:v>
      </x:c>
    </x:row>
    <x:row r="43">
      <x:c r="A43" t="str">
        <x:v>Kapas</x:v>
      </x:c>
      <x:c r="B43" t="str">
        <x:v>Terengganu</x:v>
      </x:c>
      <x:c r="C43" t="n">
        <x:v>2014</x:v>
      </x:c>
      <x:c r="D43" s="12" t="n">
        <x:v>56.88</x:v>
      </x:c>
      <x:c r="E43" s="12" t="n">
        <x:v>-1.55</x:v>
      </x:c>
      <x:c r="F43" s="12" t="n">
        <x:v>5.79</x:v>
      </x:c>
      <x:c r="G43" t="str">
        <x:v>mixed - markdown primary, PDF filled gaps</x:v>
      </x:c>
    </x:row>
    <x:row r="44">
      <x:c r="A44" t="str">
        <x:v>Perhentian</x:v>
      </x:c>
      <x:c r="B44" t="str">
        <x:v>Terengganu</x:v>
      </x:c>
      <x:c r="C44" t="n">
        <x:v>2014</x:v>
      </x:c>
      <x:c r="D44" s="12" t="n">
        <x:v>53.62</x:v>
      </x:c>
      <x:c r="E44" s="12" t="n">
        <x:v>-3.01</x:v>
      </x:c>
      <x:c r="F44" s="12" t="n">
        <x:v>5.79</x:v>
      </x:c>
      <x:c r="G44" t="str">
        <x:v>mixed - markdown primary, PDF filled gaps</x:v>
      </x:c>
    </x:row>
    <x:row r="45">
      <x:c r="A45" t="str">
        <x:v>Redang</x:v>
      </x:c>
      <x:c r="B45" t="str">
        <x:v>Terengganu</x:v>
      </x:c>
      <x:c r="C45" t="n">
        <x:v>2014</x:v>
      </x:c>
      <x:c r="D45" s="12" t="n">
        <x:v>58.13</x:v>
      </x:c>
      <x:c r="E45" s="12" t="n">
        <x:v>3.3</x:v>
      </x:c>
      <x:c r="F45" s="12" t="n">
        <x:v>5.79</x:v>
      </x:c>
      <x:c r="G45" t="str">
        <x:v>mixed - markdown primary, PDF filled gaps</x:v>
      </x:c>
    </x:row>
    <x:row r="46">
      <x:c r="A46" t="str">
        <x:v>Tenggol</x:v>
      </x:c>
      <x:c r="B46" t="str">
        <x:v>Terengganu</x:v>
      </x:c>
      <x:c r="C46" t="n">
        <x:v>2014</x:v>
      </x:c>
      <x:c r="D46" s="12" t="n">
        <x:v>53.54</x:v>
      </x:c>
      <x:c r="E46" s="12" t="n">
        <x:v>-2.66</x:v>
      </x:c>
      <x:c r="F46" s="12" t="n">
        <x:v>5.79</x:v>
      </x:c>
      <x:c r="G46" t="str">
        <x:v>mixed - markdown primary, PDF filled gaps</x:v>
      </x:c>
    </x:row>
    <x:row r="47">
      <x:c r="A47" t="str">
        <x:v>Pemanggil</x:v>
      </x:c>
      <x:c r="B47" t="str">
        <x:v>Johor</x:v>
      </x:c>
      <x:c r="C47" t="n">
        <x:v>2015</x:v>
      </x:c>
      <x:c r="D47" s="12" t="n">
        <x:v>55.47</x:v>
      </x:c>
      <x:c r="E47" s="12" t="n">
        <x:v>1.4</x:v>
      </x:c>
      <x:c r="F47" s="12" t="n">
        <x:v>0</x:v>
      </x:c>
      <x:c r="G47" t="str">
        <x:v>mixed - markdown primary, PDF filled gaps</x:v>
      </x:c>
    </x:row>
    <x:row r="48">
      <x:c r="A48" t="str">
        <x:v>Sibu</x:v>
      </x:c>
      <x:c r="B48" t="str">
        <x:v>Johor</x:v>
      </x:c>
      <x:c r="C48" t="n">
        <x:v>2015</x:v>
      </x:c>
      <x:c r="D48" s="12" t="n">
        <x:v>51.36</x:v>
      </x:c>
      <x:c r="E48" s="12" t="n">
        <x:v>4.7</x:v>
      </x:c>
      <x:c r="F48" s="12" t="n">
        <x:v>0</x:v>
      </x:c>
      <x:c r="G48" t="str">
        <x:v>mixed - markdown primary, PDF filled gaps</x:v>
      </x:c>
    </x:row>
    <x:row r="49">
      <x:c r="A49" t="str">
        <x:v>Tinggi</x:v>
      </x:c>
      <x:c r="B49" t="str">
        <x:v>Johor</x:v>
      </x:c>
      <x:c r="C49" t="n">
        <x:v>2015</x:v>
      </x:c>
      <x:c r="D49" s="12" t="n">
        <x:v>70</x:v>
      </x:c>
      <x:c r="E49" s="12" t="n">
        <x:v>8.12</x:v>
      </x:c>
      <x:c r="F49" s="12" t="n">
        <x:v>0</x:v>
      </x:c>
      <x:c r="G49" t="str">
        <x:v>verified - markdown corrected an error in the PDF pass</x:v>
      </x:c>
    </x:row>
    <x:row r="50">
      <x:c r="A50" t="str">
        <x:v>Payar</x:v>
      </x:c>
      <x:c r="B50" t="str">
        <x:v>Kedah</x:v>
      </x:c>
      <x:c r="C50" t="n">
        <x:v>2015</x:v>
      </x:c>
      <x:c r="D50" s="12" t="n">
        <x:v>40.42</x:v>
      </x:c>
      <x:c r="E50" s="12"/>
      <x:c r="F50" s="12" t="n">
        <x:v>0.63</x:v>
      </x:c>
      <x:c r="G50" t="str">
        <x:v>mixed - markdown primary, PDF filled gaps</x:v>
      </x:c>
    </x:row>
    <x:row r="51">
      <x:c r="A51" t="str">
        <x:v>Tioman</x:v>
      </x:c>
      <x:c r="B51" t="str">
        <x:v>Pahang</x:v>
      </x:c>
      <x:c r="C51" t="n">
        <x:v>2015</x:v>
      </x:c>
      <x:c r="D51" s="12" t="n">
        <x:v>61.39</x:v>
      </x:c>
      <x:c r="E51" s="12" t="n">
        <x:v>0.99</x:v>
      </x:c>
      <x:c r="F51" s="12" t="n">
        <x:v>0</x:v>
      </x:c>
      <x:c r="G51" t="str">
        <x:v>mixed - markdown primary, PDF filled gaps</x:v>
      </x:c>
    </x:row>
    <x:row r="52">
      <x:c r="A52" t="str">
        <x:v>Pangkor Laut</x:v>
      </x:c>
      <x:c r="B52" t="str">
        <x:v>Perak</x:v>
      </x:c>
      <x:c r="C52" t="n">
        <x:v>2015</x:v>
      </x:c>
      <x:c r="D52" s="12" t="n">
        <x:v>68.75</x:v>
      </x:c>
      <x:c r="E52" s="12" t="n">
        <x:v>13.12</x:v>
      </x:c>
      <x:c r="F52" s="12" t="n">
        <x:v>0.63</x:v>
      </x:c>
      <x:c r="G52" t="str">
        <x:v>mixed - markdown primary, PDF filled gaps</x:v>
      </x:c>
    </x:row>
    <x:row r="53">
      <x:c r="A53" t="str">
        <x:v>Sembilan</x:v>
      </x:c>
      <x:c r="B53" t="str">
        <x:v>Perak</x:v>
      </x:c>
      <x:c r="C53" t="n">
        <x:v>2015</x:v>
      </x:c>
      <x:c r="D53" s="12" t="n">
        <x:v>31.81</x:v>
      </x:c>
      <x:c r="E53" s="12" t="n">
        <x:v>-2.1</x:v>
      </x:c>
      <x:c r="F53" s="12" t="n">
        <x:v>0.63</x:v>
      </x:c>
      <x:c r="G53" t="str">
        <x:v>mixed - markdown primary, PDF filled gaps</x:v>
      </x:c>
    </x:row>
    <x:row r="54">
      <x:c r="A54" t="str">
        <x:v>Balambangan</x:v>
      </x:c>
      <x:c r="B54" t="str">
        <x:v>Sabah</x:v>
      </x:c>
      <x:c r="C54" t="n">
        <x:v>2015</x:v>
      </x:c>
      <x:c r="D54" s="12" t="n">
        <x:v>72.29</x:v>
      </x:c>
      <x:c r="E54" s="12"/>
      <x:c r="F54" s="12" t="n">
        <x:v>3.68</x:v>
      </x:c>
      <x:c r="G54" t="str">
        <x:v>mixed - markdown primary, PDF filled gaps</x:v>
      </x:c>
    </x:row>
    <x:row r="55">
      <x:c r="A55" t="str">
        <x:v>Berungus</x:v>
      </x:c>
      <x:c r="B55" t="str">
        <x:v>Sabah</x:v>
      </x:c>
      <x:c r="C55" t="n">
        <x:v>2015</x:v>
      </x:c>
      <x:c r="D55" s="12" t="n">
        <x:v>54.22</x:v>
      </x:c>
      <x:c r="E55" s="12"/>
      <x:c r="F55" s="12" t="n">
        <x:v>3.68</x:v>
      </x:c>
      <x:c r="G55" t="str">
        <x:v>mixed - markdown primary, PDF filled gaps</x:v>
      </x:c>
    </x:row>
    <x:row r="56">
      <x:c r="A56" t="str">
        <x:v>Kapalai</x:v>
      </x:c>
      <x:c r="B56" t="str">
        <x:v>Sabah</x:v>
      </x:c>
      <x:c r="C56" t="n">
        <x:v>2015</x:v>
      </x:c>
      <x:c r="D56" s="12" t="n">
        <x:v>7.63</x:v>
      </x:c>
      <x:c r="E56" s="12"/>
      <x:c r="F56" s="12" t="n">
        <x:v>3.68</x:v>
      </x:c>
      <x:c r="G56" t="str">
        <x:v>mixed - markdown primary, PDF filled gaps</x:v>
      </x:c>
    </x:row>
    <x:row r="57">
      <x:c r="A57" t="str">
        <x:v>Lahad Datu</x:v>
      </x:c>
      <x:c r="B57" t="str">
        <x:v>Sabah</x:v>
      </x:c>
      <x:c r="C57" t="n">
        <x:v>2015</x:v>
      </x:c>
      <x:c r="D57" s="12" t="n">
        <x:v>32.88</x:v>
      </x:c>
      <x:c r="E57" s="12" t="n">
        <x:v>-8.7</x:v>
      </x:c>
      <x:c r="F57" s="12" t="n">
        <x:v>3.68</x:v>
      </x:c>
      <x:c r="G57" t="str">
        <x:v>verified - markdown corrected an error in the PDF pass</x:v>
      </x:c>
    </x:row>
    <x:row r="58">
      <x:c r="A58" t="str">
        <x:v>Lankayan</x:v>
      </x:c>
      <x:c r="B58" t="str">
        <x:v>Sabah</x:v>
      </x:c>
      <x:c r="C58" t="n">
        <x:v>2015</x:v>
      </x:c>
      <x:c r="D58" s="12" t="n">
        <x:v>48.21</x:v>
      </x:c>
      <x:c r="E58" s="12" t="n">
        <x:v>1.92</x:v>
      </x:c>
      <x:c r="F58" s="12" t="n">
        <x:v>3.68</x:v>
      </x:c>
      <x:c r="G58" t="str">
        <x:v>mixed - markdown primary, PDF filled gaps</x:v>
      </x:c>
    </x:row>
    <x:row r="59">
      <x:c r="A59" t="str">
        <x:v>Mabul</x:v>
      </x:c>
      <x:c r="B59" t="str">
        <x:v>Sabah</x:v>
      </x:c>
      <x:c r="C59" t="n">
        <x:v>2015</x:v>
      </x:c>
      <x:c r="D59" s="12" t="n">
        <x:v>20.13</x:v>
      </x:c>
      <x:c r="E59" s="12"/>
      <x:c r="F59" s="12" t="n">
        <x:v>3.68</x:v>
      </x:c>
      <x:c r="G59" t="str">
        <x:v>mixed - markdown primary, PDF filled gaps</x:v>
      </x:c>
    </x:row>
    <x:row r="60">
      <x:c r="A60" t="str">
        <x:v>Maliangin</x:v>
      </x:c>
      <x:c r="B60" t="str">
        <x:v>Sabah</x:v>
      </x:c>
      <x:c r="C60" t="n">
        <x:v>2015</x:v>
      </x:c>
      <x:c r="D60" s="12" t="n">
        <x:v>46.68</x:v>
      </x:c>
      <x:c r="E60" s="12"/>
      <x:c r="F60" s="12" t="n">
        <x:v>3.68</x:v>
      </x:c>
      <x:c r="G60" t="str">
        <x:v>mixed - markdown primary, PDF filled gaps</x:v>
      </x:c>
    </x:row>
    <x:row r="61">
      <x:c r="A61" t="str">
        <x:v>Mantanani</x:v>
      </x:c>
      <x:c r="B61" t="str">
        <x:v>Sabah</x:v>
      </x:c>
      <x:c r="C61" t="n">
        <x:v>2015</x:v>
      </x:c>
      <x:c r="D61" s="12" t="n">
        <x:v>41.88</x:v>
      </x:c>
      <x:c r="E61" s="12" t="n">
        <x:v>-1.42</x:v>
      </x:c>
      <x:c r="F61" s="12" t="n">
        <x:v>3.68</x:v>
      </x:c>
      <x:c r="G61" t="str">
        <x:v>mixed - markdown primary, PDF filled gaps</x:v>
      </x:c>
    </x:row>
    <x:row r="62">
      <x:c r="A62" t="str">
        <x:v>Mataking</x:v>
      </x:c>
      <x:c r="B62" t="str">
        <x:v>Sabah</x:v>
      </x:c>
      <x:c r="C62" t="n">
        <x:v>2015</x:v>
      </x:c>
      <x:c r="D62" s="12" t="n">
        <x:v>33.64</x:v>
      </x:c>
      <x:c r="E62" s="12" t="n">
        <x:v>-1.325</x:v>
      </x:c>
      <x:c r="F62" s="12" t="n">
        <x:v>3.68</x:v>
      </x:c>
      <x:c r="G62" t="str">
        <x:v>mixed - markdown primary, PDF filled gaps</x:v>
      </x:c>
    </x:row>
    <x:row r="63">
      <x:c r="A63" t="str">
        <x:v>Penyu</x:v>
      </x:c>
      <x:c r="B63" t="str">
        <x:v>Sabah</x:v>
      </x:c>
      <x:c r="C63" t="n">
        <x:v>2015</x:v>
      </x:c>
      <x:c r="D63" s="12" t="n">
        <x:v>41.46</x:v>
      </x:c>
      <x:c r="E63" s="12"/>
      <x:c r="F63" s="12" t="n">
        <x:v>3.68</x:v>
      </x:c>
      <x:c r="G63" t="str">
        <x:v>mixed - markdown primary, PDF filled gaps</x:v>
      </x:c>
    </x:row>
    <x:row r="64">
      <x:c r="A64" t="str">
        <x:v>Semporna</x:v>
      </x:c>
      <x:c r="B64" t="str">
        <x:v>Sabah</x:v>
      </x:c>
      <x:c r="C64" t="n">
        <x:v>2015</x:v>
      </x:c>
      <x:c r="D64" s="12" t="n">
        <x:v>31.29</x:v>
      </x:c>
      <x:c r="E64" s="12" t="n">
        <x:v>-8.65</x:v>
      </x:c>
      <x:c r="F64" s="12" t="n">
        <x:v>3.68</x:v>
      </x:c>
      <x:c r="G64" t="str">
        <x:v>mixed - markdown primary, PDF filled gaps</x:v>
      </x:c>
    </x:row>
    <x:row r="65">
      <x:c r="A65" t="str">
        <x:v>Sipadan</x:v>
      </x:c>
      <x:c r="B65" t="str">
        <x:v>Sabah</x:v>
      </x:c>
      <x:c r="C65" t="n">
        <x:v>2015</x:v>
      </x:c>
      <x:c r="D65" s="12" t="n">
        <x:v>53.33</x:v>
      </x:c>
      <x:c r="E65" s="12" t="n">
        <x:v>-7.07</x:v>
      </x:c>
      <x:c r="F65" s="12" t="n">
        <x:v>3.68</x:v>
      </x:c>
      <x:c r="G65" t="str">
        <x:v>mixed - markdown primary, PDF filled gaps</x:v>
      </x:c>
    </x:row>
    <x:row r="66">
      <x:c r="A66" t="str">
        <x:v>Tiga</x:v>
      </x:c>
      <x:c r="B66" t="str">
        <x:v>Sabah</x:v>
      </x:c>
      <x:c r="C66" t="n">
        <x:v>2015</x:v>
      </x:c>
      <x:c r="D66" s="12" t="n">
        <x:v>29.58</x:v>
      </x:c>
      <x:c r="E66" s="12"/>
      <x:c r="F66" s="12" t="n">
        <x:v>3.68</x:v>
      </x:c>
      <x:c r="G66" t="str">
        <x:v>mixed - markdown primary, PDF filled gaps</x:v>
      </x:c>
    </x:row>
    <x:row r="67">
      <x:c r="A67" t="str">
        <x:v>Tun Sakaran Marine Park</x:v>
      </x:c>
      <x:c r="B67" t="str">
        <x:v>Sabah</x:v>
      </x:c>
      <x:c r="C67" t="n">
        <x:v>2015</x:v>
      </x:c>
      <x:c r="D67" s="12" t="n">
        <x:v>54.11</x:v>
      </x:c>
      <x:c r="E67" s="12" t="n">
        <x:v>3.71</x:v>
      </x:c>
      <x:c r="F67" s="12" t="n">
        <x:v>3.68</x:v>
      </x:c>
      <x:c r="G67" t="str">
        <x:v>mixed - markdown primary, PDF filled gaps</x:v>
      </x:c>
    </x:row>
    <x:row r="68">
      <x:c r="A68" t="str">
        <x:v>Tunku Abdul Rahman Park</x:v>
      </x:c>
      <x:c r="B68" t="str">
        <x:v>Sabah</x:v>
      </x:c>
      <x:c r="C68" t="n">
        <x:v>2015</x:v>
      </x:c>
      <x:c r="D68" s="12" t="n">
        <x:v>32.7</x:v>
      </x:c>
      <x:c r="E68" s="12" t="n">
        <x:v>-5.76</x:v>
      </x:c>
      <x:c r="F68" s="12" t="n">
        <x:v>3.68</x:v>
      </x:c>
      <x:c r="G68" t="str">
        <x:v>mixed - markdown primary, PDF filled gaps</x:v>
      </x:c>
    </x:row>
    <x:row r="69">
      <x:c r="A69" t="str">
        <x:v>Usukan Cove</x:v>
      </x:c>
      <x:c r="B69" t="str">
        <x:v>Sabah</x:v>
      </x:c>
      <x:c r="C69" t="n">
        <x:v>2015</x:v>
      </x:c>
      <x:c r="D69" s="12" t="n">
        <x:v>35.63</x:v>
      </x:c>
      <x:c r="E69" s="12" t="n">
        <x:v>-2.81</x:v>
      </x:c>
      <x:c r="F69" s="12" t="n">
        <x:v>3.68</x:v>
      </x:c>
      <x:c r="G69" t="str">
        <x:v>mixed - markdown primary, PDF filled gaps</x:v>
      </x:c>
    </x:row>
    <x:row r="70">
      <x:c r="A70" t="str">
        <x:v>Kuching</x:v>
      </x:c>
      <x:c r="B70" t="str">
        <x:v>Sarawak</x:v>
      </x:c>
      <x:c r="C70" t="n">
        <x:v>2015</x:v>
      </x:c>
      <x:c r="D70" s="12" t="n">
        <x:v>69.69</x:v>
      </x:c>
      <x:c r="E70" s="12" t="n">
        <x:v>14.69</x:v>
      </x:c>
      <x:c r="F70" s="12" t="n">
        <x:v>1.19</x:v>
      </x:c>
      <x:c r="G70" t="str">
        <x:v>mixed - markdown primary, PDF filled gaps</x:v>
      </x:c>
    </x:row>
    <x:row r="71">
      <x:c r="A71" t="str">
        <x:v>Miri</x:v>
      </x:c>
      <x:c r="B71" t="str">
        <x:v>Sarawak</x:v>
      </x:c>
      <x:c r="C71" t="n">
        <x:v>2015</x:v>
      </x:c>
      <x:c r="D71" s="12" t="n">
        <x:v>45.73</x:v>
      </x:c>
      <x:c r="E71" s="12" t="n">
        <x:v>-6.35</x:v>
      </x:c>
      <x:c r="F71" s="12" t="n">
        <x:v>1.19</x:v>
      </x:c>
      <x:c r="G71" t="str">
        <x:v>mixed - markdown primary, PDF filled gaps</x:v>
      </x:c>
    </x:row>
    <x:row r="72">
      <x:c r="A72" t="str">
        <x:v>Bidong &amp; Yu</x:v>
      </x:c>
      <x:c r="B72" t="str">
        <x:v>Terengganu</x:v>
      </x:c>
      <x:c r="C72" t="n">
        <x:v>2015</x:v>
      </x:c>
      <x:c r="D72" s="12" t="n">
        <x:v>62.5</x:v>
      </x:c>
      <x:c r="E72" s="12" t="n">
        <x:v>7.92</x:v>
      </x:c>
      <x:c r="F72" s="12" t="n">
        <x:v>4.48</x:v>
      </x:c>
      <x:c r="G72" t="str">
        <x:v>mixed - markdown primary, PDF filled gaps</x:v>
      </x:c>
    </x:row>
    <x:row r="73">
      <x:c r="A73" t="str">
        <x:v>Kapas</x:v>
      </x:c>
      <x:c r="B73" t="str">
        <x:v>Terengganu</x:v>
      </x:c>
      <x:c r="C73" t="n">
        <x:v>2015</x:v>
      </x:c>
      <x:c r="D73" s="12" t="n">
        <x:v>53.63</x:v>
      </x:c>
      <x:c r="E73" s="12" t="n">
        <x:v>-3.25</x:v>
      </x:c>
      <x:c r="F73" s="12" t="n">
        <x:v>4.48</x:v>
      </x:c>
      <x:c r="G73" t="str">
        <x:v>mixed - markdown primary, PDF filled gaps</x:v>
      </x:c>
    </x:row>
    <x:row r="74">
      <x:c r="A74" t="str">
        <x:v>Perhentian</x:v>
      </x:c>
      <x:c r="B74" t="str">
        <x:v>Terengganu</x:v>
      </x:c>
      <x:c r="C74" t="n">
        <x:v>2015</x:v>
      </x:c>
      <x:c r="D74" s="12" t="n">
        <x:v>50.12</x:v>
      </x:c>
      <x:c r="E74" s="12" t="n">
        <x:v>-3.5</x:v>
      </x:c>
      <x:c r="F74" s="12" t="n">
        <x:v>4.48</x:v>
      </x:c>
      <x:c r="G74" t="str">
        <x:v>mixed - markdown primary, PDF filled gaps</x:v>
      </x:c>
    </x:row>
    <x:row r="75">
      <x:c r="A75" t="str">
        <x:v>Redang</x:v>
      </x:c>
      <x:c r="B75" t="str">
        <x:v>Terengganu</x:v>
      </x:c>
      <x:c r="C75" t="n">
        <x:v>2015</x:v>
      </x:c>
      <x:c r="D75" s="12" t="n">
        <x:v>64.12</x:v>
      </x:c>
      <x:c r="E75" s="12" t="n">
        <x:v>5.99</x:v>
      </x:c>
      <x:c r="F75" s="12" t="n">
        <x:v>4.48</x:v>
      </x:c>
      <x:c r="G75" t="str">
        <x:v>mixed - markdown primary, PDF filled gaps</x:v>
      </x:c>
    </x:row>
    <x:row r="76">
      <x:c r="A76" t="str">
        <x:v>Tenggol</x:v>
      </x:c>
      <x:c r="B76" t="str">
        <x:v>Terengganu</x:v>
      </x:c>
      <x:c r="C76" t="n">
        <x:v>2015</x:v>
      </x:c>
      <x:c r="D76" s="12" t="n">
        <x:v>58.65</x:v>
      </x:c>
      <x:c r="E76" s="12" t="n">
        <x:v>5.11</x:v>
      </x:c>
      <x:c r="F76" s="12" t="n">
        <x:v>4.48</x:v>
      </x:c>
      <x:c r="G76" t="str">
        <x:v>mixed - markdown primary, PDF filled gaps</x:v>
      </x:c>
    </x:row>
    <x:row r="77">
      <x:c r="A77" t="str">
        <x:v>Pemanggil</x:v>
      </x:c>
      <x:c r="B77" t="str">
        <x:v>Johor</x:v>
      </x:c>
      <x:c r="C77" t="n">
        <x:v>2016</x:v>
      </x:c>
      <x:c r="D77" s="12" t="n">
        <x:v>48.44</x:v>
      </x:c>
      <x:c r="E77" s="12" t="n">
        <x:v>-7.03</x:v>
      </x:c>
      <x:c r="F77" s="12" t="n">
        <x:v>7.25</x:v>
      </x:c>
      <x:c r="G77" t="str">
        <x:v>mixed - markdown primary, PDF filled gaps</x:v>
      </x:c>
    </x:row>
    <x:row r="78">
      <x:c r="A78" t="str">
        <x:v>Sibu</x:v>
      </x:c>
      <x:c r="B78" t="str">
        <x:v>Johor</x:v>
      </x:c>
      <x:c r="C78" t="n">
        <x:v>2016</x:v>
      </x:c>
      <x:c r="D78" s="12" t="n">
        <x:v>63.75</x:v>
      </x:c>
      <x:c r="E78" s="12" t="n">
        <x:v>12.39</x:v>
      </x:c>
      <x:c r="F78" s="12" t="n">
        <x:v>7.25</x:v>
      </x:c>
      <x:c r="G78" t="str">
        <x:v>mixed - markdown primary, PDF filled gaps</x:v>
      </x:c>
    </x:row>
    <x:row r="79">
      <x:c r="A79" t="str">
        <x:v>Tinggi</x:v>
      </x:c>
      <x:c r="B79" t="str">
        <x:v>Johor</x:v>
      </x:c>
      <x:c r="C79" t="n">
        <x:v>2016</x:v>
      </x:c>
      <x:c r="D79" s="12" t="n">
        <x:v>64.22</x:v>
      </x:c>
      <x:c r="E79" s="12" t="n">
        <x:v>-5.78</x:v>
      </x:c>
      <x:c r="F79" s="12" t="n">
        <x:v>7.25</x:v>
      </x:c>
      <x:c r="G79" t="str">
        <x:v>markdown only</x:v>
      </x:c>
    </x:row>
    <x:row r="80">
      <x:c r="A80" t="str">
        <x:v>Payar</x:v>
      </x:c>
      <x:c r="B80" t="str">
        <x:v>Kedah</x:v>
      </x:c>
      <x:c r="C80" t="n">
        <x:v>2016</x:v>
      </x:c>
      <x:c r="D80" s="12" t="n">
        <x:v>44.38</x:v>
      </x:c>
      <x:c r="E80" s="12" t="n">
        <x:v>3.96</x:v>
      </x:c>
      <x:c r="F80" s="12" t="n">
        <x:v>11.34</x:v>
      </x:c>
      <x:c r="G80" t="str">
        <x:v>mixed - markdown primary, PDF filled gaps</x:v>
      </x:c>
    </x:row>
    <x:row r="81">
      <x:c r="A81" t="str">
        <x:v>Tioman</x:v>
      </x:c>
      <x:c r="B81" t="str">
        <x:v>Pahang</x:v>
      </x:c>
      <x:c r="C81" t="n">
        <x:v>2016</x:v>
      </x:c>
      <x:c r="D81" s="12" t="n">
        <x:v>59.48</x:v>
      </x:c>
      <x:c r="E81" s="12" t="n">
        <x:v>-1.91</x:v>
      </x:c>
      <x:c r="F81" s="12" t="n">
        <x:v>7.25</x:v>
      </x:c>
      <x:c r="G81" t="str">
        <x:v>mixed - markdown primary, PDF filled gaps</x:v>
      </x:c>
    </x:row>
    <x:row r="82">
      <x:c r="A82" t="str">
        <x:v>Pangkor Laut</x:v>
      </x:c>
      <x:c r="B82" t="str">
        <x:v>Perak</x:v>
      </x:c>
      <x:c r="C82" t="n">
        <x:v>2016</x:v>
      </x:c>
      <x:c r="D82" s="12" t="n">
        <x:v>88.75</x:v>
      </x:c>
      <x:c r="E82" s="12" t="n">
        <x:v>20</x:v>
      </x:c>
      <x:c r="F82" s="12" t="n">
        <x:v>11.34</x:v>
      </x:c>
      <x:c r="G82" t="str">
        <x:v>mixed - markdown primary, PDF filled gaps</x:v>
      </x:c>
    </x:row>
    <x:row r="83">
      <x:c r="A83" t="str">
        <x:v>Sembilan</x:v>
      </x:c>
      <x:c r="B83" t="str">
        <x:v>Perak</x:v>
      </x:c>
      <x:c r="C83" t="n">
        <x:v>2016</x:v>
      </x:c>
      <x:c r="D83" s="12" t="n">
        <x:v>31.18</x:v>
      </x:c>
      <x:c r="E83" s="12" t="n">
        <x:v>-0.63</x:v>
      </x:c>
      <x:c r="F83" s="12" t="n">
        <x:v>11.34</x:v>
      </x:c>
      <x:c r="G83" t="str">
        <x:v>mixed - markdown primary, PDF filled gaps</x:v>
      </x:c>
    </x:row>
    <x:row r="84">
      <x:c r="A84" t="str">
        <x:v>Kapalai</x:v>
      </x:c>
      <x:c r="B84" t="str">
        <x:v>Sabah</x:v>
      </x:c>
      <x:c r="C84" t="n">
        <x:v>2016</x:v>
      </x:c>
      <x:c r="D84" s="12" t="n">
        <x:v>11.26</x:v>
      </x:c>
      <x:c r="E84" s="12" t="n">
        <x:v>3.63</x:v>
      </x:c>
      <x:c r="F84" s="12" t="n">
        <x:v>10.52</x:v>
      </x:c>
      <x:c r="G84" t="str">
        <x:v>mixed - markdown primary, PDF filled gaps</x:v>
      </x:c>
    </x:row>
    <x:row r="85">
      <x:c r="A85" t="str">
        <x:v>Labuan</x:v>
      </x:c>
      <x:c r="B85" t="str">
        <x:v>Sabah</x:v>
      </x:c>
      <x:c r="C85" t="n">
        <x:v>2016</x:v>
      </x:c>
      <x:c r="D85" s="12" t="n">
        <x:v>41.67</x:v>
      </x:c>
      <x:c r="E85" s="12" t="n">
        <x:v>-4.853</x:v>
      </x:c>
      <x:c r="F85" s="12" t="n">
        <x:v>10.52</x:v>
      </x:c>
      <x:c r="G85" t="str">
        <x:v>mixed - markdown primary, PDF filled gaps</x:v>
      </x:c>
    </x:row>
    <x:row r="86">
      <x:c r="A86" t="str">
        <x:v>Lahad Datu</x:v>
      </x:c>
      <x:c r="B86" t="str">
        <x:v>Sabah</x:v>
      </x:c>
      <x:c r="C86" t="n">
        <x:v>2016</x:v>
      </x:c>
      <x:c r="D86" s="12" t="n">
        <x:v>20.5</x:v>
      </x:c>
      <x:c r="E86" s="12" t="n">
        <x:v>-12.38</x:v>
      </x:c>
      <x:c r="F86" s="12" t="n">
        <x:v>10.52</x:v>
      </x:c>
      <x:c r="G86" t="str">
        <x:v>markdown only</x:v>
      </x:c>
    </x:row>
    <x:row r="87">
      <x:c r="A87" t="str">
        <x:v>Lankayan</x:v>
      </x:c>
      <x:c r="B87" t="str">
        <x:v>Sabah</x:v>
      </x:c>
      <x:c r="C87" t="n">
        <x:v>2016</x:v>
      </x:c>
      <x:c r="D87" s="12" t="n">
        <x:v>48.91</x:v>
      </x:c>
      <x:c r="E87" s="12" t="n">
        <x:v>0.7</x:v>
      </x:c>
      <x:c r="F87" s="12" t="n">
        <x:v>10.52</x:v>
      </x:c>
      <x:c r="G87" t="str">
        <x:v>mixed - markdown primary, PDF filled gaps</x:v>
      </x:c>
    </x:row>
    <x:row r="88">
      <x:c r="A88" t="str">
        <x:v>Mabul</x:v>
      </x:c>
      <x:c r="B88" t="str">
        <x:v>Sabah</x:v>
      </x:c>
      <x:c r="C88" t="n">
        <x:v>2016</x:v>
      </x:c>
      <x:c r="D88" s="12" t="n">
        <x:v>27.61</x:v>
      </x:c>
      <x:c r="E88" s="12" t="n">
        <x:v>7.48</x:v>
      </x:c>
      <x:c r="F88" s="12" t="n">
        <x:v>10.52</x:v>
      </x:c>
      <x:c r="G88" t="str">
        <x:v>mixed - markdown primary, PDF filled gaps</x:v>
      </x:c>
    </x:row>
    <x:row r="89">
      <x:c r="A89" t="str">
        <x:v>Mantanani</x:v>
      </x:c>
      <x:c r="B89" t="str">
        <x:v>Sabah</x:v>
      </x:c>
      <x:c r="C89" t="n">
        <x:v>2016</x:v>
      </x:c>
      <x:c r="D89" s="12" t="n">
        <x:v>32.04</x:v>
      </x:c>
      <x:c r="E89" s="12" t="n">
        <x:v>-9.84</x:v>
      </x:c>
      <x:c r="F89" s="12" t="n">
        <x:v>10.52</x:v>
      </x:c>
      <x:c r="G89" t="str">
        <x:v>mixed - markdown primary, PDF filled gaps</x:v>
      </x:c>
    </x:row>
    <x:row r="90">
      <x:c r="A90" t="str">
        <x:v>Mataking</x:v>
      </x:c>
      <x:c r="B90" t="str">
        <x:v>Sabah</x:v>
      </x:c>
      <x:c r="C90" t="n">
        <x:v>2016</x:v>
      </x:c>
      <x:c r="D90" s="12" t="n">
        <x:v>35.52</x:v>
      </x:c>
      <x:c r="E90" s="12" t="n">
        <x:v>1.88</x:v>
      </x:c>
      <x:c r="F90" s="12" t="n">
        <x:v>10.52</x:v>
      </x:c>
      <x:c r="G90" t="str">
        <x:v>mixed - markdown primary, PDF filled gaps</x:v>
      </x:c>
    </x:row>
    <x:row r="91">
      <x:c r="A91" t="str">
        <x:v>Penyu</x:v>
      </x:c>
      <x:c r="B91" t="str">
        <x:v>Sabah</x:v>
      </x:c>
      <x:c r="C91" t="n">
        <x:v>2016</x:v>
      </x:c>
      <x:c r="D91" s="12" t="n">
        <x:v>31.67</x:v>
      </x:c>
      <x:c r="E91" s="12" t="n">
        <x:v>-9.79</x:v>
      </x:c>
      <x:c r="F91" s="12" t="n">
        <x:v>10.52</x:v>
      </x:c>
      <x:c r="G91" t="str">
        <x:v>mixed - markdown primary, PDF filled gaps</x:v>
      </x:c>
    </x:row>
    <x:row r="92">
      <x:c r="A92" t="str">
        <x:v>Pom Pom</x:v>
      </x:c>
      <x:c r="B92" t="str">
        <x:v>Sabah</x:v>
      </x:c>
      <x:c r="C92" t="n">
        <x:v>2016</x:v>
      </x:c>
      <x:c r="D92" s="12" t="n">
        <x:v>18.76</x:v>
      </x:c>
      <x:c r="E92" s="12"/>
      <x:c r="F92" s="12" t="n">
        <x:v>10.52</x:v>
      </x:c>
      <x:c r="G92" t="str">
        <x:v>mixed - markdown primary, PDF filled gaps</x:v>
      </x:c>
    </x:row>
    <x:row r="93">
      <x:c r="A93" t="str">
        <x:v>Sipadan</x:v>
      </x:c>
      <x:c r="B93" t="str">
        <x:v>Sabah</x:v>
      </x:c>
      <x:c r="C93" t="n">
        <x:v>2016</x:v>
      </x:c>
      <x:c r="D93" s="12" t="n">
        <x:v>43.49</x:v>
      </x:c>
      <x:c r="E93" s="12" t="n">
        <x:v>-9.84</x:v>
      </x:c>
      <x:c r="F93" s="12" t="n">
        <x:v>10.52</x:v>
      </x:c>
      <x:c r="G93" t="str">
        <x:v>verified - markdown corrected an error in the PDF pass</x:v>
      </x:c>
    </x:row>
    <x:row r="94">
      <x:c r="A94" t="str">
        <x:v>Tiga</x:v>
      </x:c>
      <x:c r="B94" t="str">
        <x:v>Sabah</x:v>
      </x:c>
      <x:c r="C94" t="n">
        <x:v>2016</x:v>
      </x:c>
      <x:c r="D94" s="12" t="n">
        <x:v>43.43</x:v>
      </x:c>
      <x:c r="E94" s="12" t="n">
        <x:v>13.85</x:v>
      </x:c>
      <x:c r="F94" s="12" t="n">
        <x:v>10.52</x:v>
      </x:c>
      <x:c r="G94" t="str">
        <x:v>mixed - markdown primary, PDF filled gaps</x:v>
      </x:c>
    </x:row>
    <x:row r="95">
      <x:c r="A95" t="str">
        <x:v>Tun Sakaran Marine Park</x:v>
      </x:c>
      <x:c r="B95" t="str">
        <x:v>Sabah</x:v>
      </x:c>
      <x:c r="C95" t="n">
        <x:v>2016</x:v>
      </x:c>
      <x:c r="D95" s="12" t="n">
        <x:v>47.59</x:v>
      </x:c>
      <x:c r="E95" s="12" t="n">
        <x:v>-6.52</x:v>
      </x:c>
      <x:c r="F95" s="12" t="n">
        <x:v>10.52</x:v>
      </x:c>
      <x:c r="G95" t="str">
        <x:v>mixed - markdown primary, PDF filled gaps</x:v>
      </x:c>
    </x:row>
    <x:row r="96">
      <x:c r="A96" t="str">
        <x:v>Tunku Abdul Rahman Park</x:v>
      </x:c>
      <x:c r="B96" t="str">
        <x:v>Sabah</x:v>
      </x:c>
      <x:c r="C96" t="n">
        <x:v>2016</x:v>
      </x:c>
      <x:c r="D96" s="12" t="n">
        <x:v>50.24</x:v>
      </x:c>
      <x:c r="E96" s="12" t="n">
        <x:v>17.54</x:v>
      </x:c>
      <x:c r="F96" s="12" t="n">
        <x:v>10.52</x:v>
      </x:c>
      <x:c r="G96" t="str">
        <x:v>mixed - markdown primary, PDF filled gaps</x:v>
      </x:c>
    </x:row>
    <x:row r="97">
      <x:c r="A97" t="str">
        <x:v>Usukan Cove</x:v>
      </x:c>
      <x:c r="B97" t="str">
        <x:v>Sabah</x:v>
      </x:c>
      <x:c r="C97" t="n">
        <x:v>2016</x:v>
      </x:c>
      <x:c r="D97" s="12" t="n">
        <x:v>33.02</x:v>
      </x:c>
      <x:c r="E97" s="12" t="n">
        <x:v>-2.61</x:v>
      </x:c>
      <x:c r="F97" s="12" t="n">
        <x:v>10.52</x:v>
      </x:c>
      <x:c r="G97" t="str">
        <x:v>mixed - markdown primary, PDF filled gaps</x:v>
      </x:c>
    </x:row>
    <x:row r="98">
      <x:c r="A98" t="str">
        <x:v>Miri</x:v>
      </x:c>
      <x:c r="B98" t="str">
        <x:v>Sarawak</x:v>
      </x:c>
      <x:c r="C98" t="n">
        <x:v>2016</x:v>
      </x:c>
      <x:c r="D98" s="12" t="n">
        <x:v>43.65</x:v>
      </x:c>
      <x:c r="E98" s="12" t="n">
        <x:v>-2.08</x:v>
      </x:c>
      <x:c r="F98" s="12" t="n">
        <x:v>1.79</x:v>
      </x:c>
      <x:c r="G98" t="str">
        <x:v>mixed - markdown primary, PDF filled gaps</x:v>
      </x:c>
    </x:row>
    <x:row r="99">
      <x:c r="A99" t="str">
        <x:v>Bidong &amp; Yu</x:v>
      </x:c>
      <x:c r="B99" t="str">
        <x:v>Terengganu</x:v>
      </x:c>
      <x:c r="C99" t="n">
        <x:v>2016</x:v>
      </x:c>
      <x:c r="D99" s="12" t="n">
        <x:v>53.34</x:v>
      </x:c>
      <x:c r="E99" s="12" t="n">
        <x:v>-9.16</x:v>
      </x:c>
      <x:c r="F99" s="12" t="n">
        <x:v>8.15</x:v>
      </x:c>
      <x:c r="G99" t="str">
        <x:v>mixed - markdown primary, PDF filled gaps</x:v>
      </x:c>
    </x:row>
    <x:row r="100">
      <x:c r="A100" t="str">
        <x:v>Kapas</x:v>
      </x:c>
      <x:c r="B100" t="str">
        <x:v>Terengganu</x:v>
      </x:c>
      <x:c r="C100" t="n">
        <x:v>2016</x:v>
      </x:c>
      <x:c r="D100" s="12" t="n">
        <x:v>50.13</x:v>
      </x:c>
      <x:c r="E100" s="12" t="n">
        <x:v>-3.5</x:v>
      </x:c>
      <x:c r="F100" s="12" t="n">
        <x:v>8.15</x:v>
      </x:c>
      <x:c r="G100" t="str">
        <x:v>verified - markdown corrected an error in the PDF pass</x:v>
      </x:c>
    </x:row>
    <x:row r="101">
      <x:c r="A101" t="str">
        <x:v>Perhentian</x:v>
      </x:c>
      <x:c r="B101" t="str">
        <x:v>Terengganu</x:v>
      </x:c>
      <x:c r="C101" t="n">
        <x:v>2016</x:v>
      </x:c>
      <x:c r="D101" s="12" t="n">
        <x:v>51.75</x:v>
      </x:c>
      <x:c r="E101" s="12" t="n">
        <x:v>1.63</x:v>
      </x:c>
      <x:c r="F101" s="12" t="n">
        <x:v>8.15</x:v>
      </x:c>
      <x:c r="G101" t="str">
        <x:v>mixed - markdown primary, PDF filled gaps</x:v>
      </x:c>
    </x:row>
    <x:row r="102">
      <x:c r="A102" t="str">
        <x:v>Redang</x:v>
      </x:c>
      <x:c r="B102" t="str">
        <x:v>Terengganu</x:v>
      </x:c>
      <x:c r="C102" t="n">
        <x:v>2016</x:v>
      </x:c>
      <x:c r="D102" s="12" t="n">
        <x:v>55.41</x:v>
      </x:c>
      <x:c r="E102" s="12" t="n">
        <x:v>-8.71</x:v>
      </x:c>
      <x:c r="F102" s="12" t="n">
        <x:v>8.15</x:v>
      </x:c>
      <x:c r="G102" t="str">
        <x:v>mixed - markdown primary, PDF filled gaps</x:v>
      </x:c>
    </x:row>
    <x:row r="103">
      <x:c r="A103" t="str">
        <x:v>Tenggol</x:v>
      </x:c>
      <x:c r="B103" t="str">
        <x:v>Terengganu</x:v>
      </x:c>
      <x:c r="C103" t="n">
        <x:v>2016</x:v>
      </x:c>
      <x:c r="D103" s="12" t="n">
        <x:v>60.31</x:v>
      </x:c>
      <x:c r="E103" s="12" t="n">
        <x:v>1.66</x:v>
      </x:c>
      <x:c r="F103" s="12" t="n">
        <x:v>8.15</x:v>
      </x:c>
      <x:c r="G103" t="str">
        <x:v>mixed - markdown primary, PDF filled gaps</x:v>
      </x:c>
    </x:row>
    <x:row r="104">
      <x:c r="A104" t="str">
        <x:v>Pemanggil</x:v>
      </x:c>
      <x:c r="B104" t="str">
        <x:v>Johor</x:v>
      </x:c>
      <x:c r="C104" t="n">
        <x:v>2017</x:v>
      </x:c>
      <x:c r="D104" s="12" t="n">
        <x:v>51.4</x:v>
      </x:c>
      <x:c r="E104" s="12" t="n">
        <x:v>2.96</x:v>
      </x:c>
      <x:c r="F104" s="12" t="n">
        <x:v>0</x:v>
      </x:c>
      <x:c r="G104" t="str">
        <x:v>mixed - markdown primary, PDF filled gaps</x:v>
      </x:c>
    </x:row>
    <x:row r="105">
      <x:c r="A105" t="str">
        <x:v>Rawa</x:v>
      </x:c>
      <x:c r="B105" t="str">
        <x:v>Johor</x:v>
      </x:c>
      <x:c r="C105" t="n">
        <x:v>2017</x:v>
      </x:c>
      <x:c r="D105" s="12" t="n">
        <x:v>43.75</x:v>
      </x:c>
      <x:c r="E105" s="12"/>
      <x:c r="F105" s="12" t="n">
        <x:v>0</x:v>
      </x:c>
      <x:c r="G105" t="str">
        <x:v>mixed - markdown primary, PDF filled gaps</x:v>
      </x:c>
    </x:row>
    <x:row r="106">
      <x:c r="A106" t="str">
        <x:v>Sibu</x:v>
      </x:c>
      <x:c r="B106" t="str">
        <x:v>Johor</x:v>
      </x:c>
      <x:c r="C106" t="n">
        <x:v>2017</x:v>
      </x:c>
      <x:c r="D106" s="12" t="n">
        <x:v>58.86</x:v>
      </x:c>
      <x:c r="E106" s="12" t="n">
        <x:v>-4.89</x:v>
      </x:c>
      <x:c r="F106" s="12" t="n">
        <x:v>0</x:v>
      </x:c>
      <x:c r="G106" t="str">
        <x:v>mixed - markdown primary, PDF filled gaps</x:v>
      </x:c>
    </x:row>
    <x:row r="107">
      <x:c r="A107" t="str">
        <x:v>Tengah</x:v>
      </x:c>
      <x:c r="B107" t="str">
        <x:v>Johor</x:v>
      </x:c>
      <x:c r="C107" t="n">
        <x:v>2017</x:v>
      </x:c>
      <x:c r="D107" s="12" t="n">
        <x:v>46.25</x:v>
      </x:c>
      <x:c r="E107" s="12"/>
      <x:c r="F107" s="12" t="n">
        <x:v>0</x:v>
      </x:c>
      <x:c r="G107" t="str">
        <x:v>mixed - markdown primary, PDF filled gaps</x:v>
      </x:c>
    </x:row>
    <x:row r="108">
      <x:c r="A108" t="str">
        <x:v>Tinggi</x:v>
      </x:c>
      <x:c r="B108" t="str">
        <x:v>Johor</x:v>
      </x:c>
      <x:c r="C108" t="n">
        <x:v>2017</x:v>
      </x:c>
      <x:c r="D108" s="12" t="n">
        <x:v>64.53</x:v>
      </x:c>
      <x:c r="E108" s="12" t="n">
        <x:v>0.31</x:v>
      </x:c>
      <x:c r="F108" s="12" t="n">
        <x:v>0</x:v>
      </x:c>
      <x:c r="G108" t="str">
        <x:v>mixed - markdown primary, PDF filled gaps</x:v>
      </x:c>
    </x:row>
    <x:row r="109">
      <x:c r="A109" t="str">
        <x:v>Payar</x:v>
      </x:c>
      <x:c r="B109" t="str">
        <x:v>Kedah</x:v>
      </x:c>
      <x:c r="C109" t="n">
        <x:v>2017</x:v>
      </x:c>
      <x:c r="D109" s="12" t="n">
        <x:v>51.38</x:v>
      </x:c>
      <x:c r="E109" s="12" t="n">
        <x:v>7</x:v>
      </x:c>
      <x:c r="F109" s="12" t="n">
        <x:v>0.15</x:v>
      </x:c>
      <x:c r="G109" t="str">
        <x:v>mixed - markdown primary, PDF filled gaps</x:v>
      </x:c>
    </x:row>
    <x:row r="110">
      <x:c r="A110" t="str">
        <x:v>Tioman</x:v>
      </x:c>
      <x:c r="B110" t="str">
        <x:v>Pahang</x:v>
      </x:c>
      <x:c r="C110" t="n">
        <x:v>2017</x:v>
      </x:c>
      <x:c r="D110" s="12" t="n">
        <x:v>66.37</x:v>
      </x:c>
      <x:c r="E110" s="12" t="n">
        <x:v>6.89</x:v>
      </x:c>
      <x:c r="F110" s="12" t="n">
        <x:v>0</x:v>
      </x:c>
      <x:c r="G110" t="str">
        <x:v>mixed - markdown primary, PDF filled gaps</x:v>
      </x:c>
    </x:row>
    <x:row r="111">
      <x:c r="A111" t="str">
        <x:v>Pangkor Laut</x:v>
      </x:c>
      <x:c r="B111" t="str">
        <x:v>Perak</x:v>
      </x:c>
      <x:c r="C111" t="n">
        <x:v>2017</x:v>
      </x:c>
      <x:c r="D111" s="12" t="n">
        <x:v>66.25</x:v>
      </x:c>
      <x:c r="E111" s="12" t="n">
        <x:v>-22.5</x:v>
      </x:c>
      <x:c r="F111" s="12" t="n">
        <x:v>0.15</x:v>
      </x:c>
      <x:c r="G111" t="str">
        <x:v>verified - markdown corrected an error in the PDF pass</x:v>
      </x:c>
    </x:row>
    <x:row r="112">
      <x:c r="A112" t="str">
        <x:v>Sembilan</x:v>
      </x:c>
      <x:c r="B112" t="str">
        <x:v>Perak</x:v>
      </x:c>
      <x:c r="C112" t="n">
        <x:v>2017</x:v>
      </x:c>
      <x:c r="D112" s="12" t="n">
        <x:v>23.54</x:v>
      </x:c>
      <x:c r="E112" s="12" t="n">
        <x:v>-7.64</x:v>
      </x:c>
      <x:c r="F112" s="12" t="n">
        <x:v>0.15</x:v>
      </x:c>
      <x:c r="G112" t="str">
        <x:v>mixed - markdown primary, PDF filled gaps</x:v>
      </x:c>
    </x:row>
    <x:row r="113">
      <x:c r="A113" t="str">
        <x:v>Kapalai</x:v>
      </x:c>
      <x:c r="B113" t="str">
        <x:v>Sabah</x:v>
      </x:c>
      <x:c r="C113" t="n">
        <x:v>2017</x:v>
      </x:c>
      <x:c r="D113" s="12" t="n">
        <x:v>12.81</x:v>
      </x:c>
      <x:c r="E113" s="12" t="n">
        <x:v>1.55</x:v>
      </x:c>
      <x:c r="F113" s="12" t="n">
        <x:v>6.7</x:v>
      </x:c>
      <x:c r="G113" t="str">
        <x:v>mixed - markdown primary, PDF filled gaps</x:v>
      </x:c>
    </x:row>
    <x:row r="114">
      <x:c r="A114" t="str">
        <x:v>Lahad Datu</x:v>
      </x:c>
      <x:c r="B114" t="str">
        <x:v>Sabah</x:v>
      </x:c>
      <x:c r="C114" t="n">
        <x:v>2017</x:v>
      </x:c>
      <x:c r="D114" s="12" t="n">
        <x:v>31</x:v>
      </x:c>
      <x:c r="E114" s="12" t="n">
        <x:v>10.5</x:v>
      </x:c>
      <x:c r="F114" s="12" t="n">
        <x:v>6.7</x:v>
      </x:c>
      <x:c r="G114" t="str">
        <x:v>mixed - markdown primary, PDF filled gaps</x:v>
      </x:c>
    </x:row>
    <x:row r="115">
      <x:c r="A115" t="str">
        <x:v>Lankayan</x:v>
      </x:c>
      <x:c r="B115" t="str">
        <x:v>Sabah</x:v>
      </x:c>
      <x:c r="C115" t="n">
        <x:v>2017</x:v>
      </x:c>
      <x:c r="D115" s="12" t="n">
        <x:v>37.08</x:v>
      </x:c>
      <x:c r="E115" s="12" t="n">
        <x:v>-11.83</x:v>
      </x:c>
      <x:c r="F115" s="12" t="n">
        <x:v>6.7</x:v>
      </x:c>
      <x:c r="G115" t="str">
        <x:v>mixed - markdown primary, PDF filled gaps</x:v>
      </x:c>
    </x:row>
    <x:row r="116">
      <x:c r="A116" t="str">
        <x:v>Mabul</x:v>
      </x:c>
      <x:c r="B116" t="str">
        <x:v>Sabah</x:v>
      </x:c>
      <x:c r="C116" t="n">
        <x:v>2017</x:v>
      </x:c>
      <x:c r="D116" s="12" t="n">
        <x:v>30.41</x:v>
      </x:c>
      <x:c r="E116" s="12" t="n">
        <x:v>2.8</x:v>
      </x:c>
      <x:c r="F116" s="12" t="n">
        <x:v>6.7</x:v>
      </x:c>
      <x:c r="G116" t="str">
        <x:v>mixed - markdown primary, PDF filled gaps</x:v>
      </x:c>
    </x:row>
    <x:row r="117">
      <x:c r="A117" t="str">
        <x:v>Mantanani</x:v>
      </x:c>
      <x:c r="B117" t="str">
        <x:v>Sabah</x:v>
      </x:c>
      <x:c r="C117" t="n">
        <x:v>2017</x:v>
      </x:c>
      <x:c r="D117" s="12" t="n">
        <x:v>40.21</x:v>
      </x:c>
      <x:c r="E117" s="12" t="n">
        <x:v>8.17</x:v>
      </x:c>
      <x:c r="F117" s="12" t="n">
        <x:v>6.7</x:v>
      </x:c>
      <x:c r="G117" t="str">
        <x:v>mixed - markdown primary, PDF filled gaps</x:v>
      </x:c>
    </x:row>
    <x:row r="118">
      <x:c r="A118" t="str">
        <x:v>Mataking</x:v>
      </x:c>
      <x:c r="B118" t="str">
        <x:v>Sabah</x:v>
      </x:c>
      <x:c r="C118" t="n">
        <x:v>2017</x:v>
      </x:c>
      <x:c r="D118" s="12" t="n">
        <x:v>27.29</x:v>
      </x:c>
      <x:c r="E118" s="12" t="n">
        <x:v>-8.23</x:v>
      </x:c>
      <x:c r="F118" s="12" t="n">
        <x:v>6.7</x:v>
      </x:c>
      <x:c r="G118" t="str">
        <x:v>mixed - markdown primary, PDF filled gaps</x:v>
      </x:c>
    </x:row>
    <x:row r="119">
      <x:c r="A119" t="str">
        <x:v>Northern Semporna</x:v>
      </x:c>
      <x:c r="B119" t="str">
        <x:v>Sabah</x:v>
      </x:c>
      <x:c r="C119" t="n">
        <x:v>2017</x:v>
      </x:c>
      <x:c r="D119" s="12" t="n">
        <x:v>28.79</x:v>
      </x:c>
      <x:c r="E119" s="12"/>
      <x:c r="F119" s="12" t="n">
        <x:v>6.7</x:v>
      </x:c>
      <x:c r="G119" t="str">
        <x:v>mixed - markdown primary, PDF filled gaps</x:v>
      </x:c>
    </x:row>
    <x:row r="120">
      <x:c r="A120" t="str">
        <x:v>Penyu</x:v>
      </x:c>
      <x:c r="B120" t="str">
        <x:v>Sabah</x:v>
      </x:c>
      <x:c r="C120" t="n">
        <x:v>2017</x:v>
      </x:c>
      <x:c r="D120" s="12" t="n">
        <x:v>42.85</x:v>
      </x:c>
      <x:c r="E120" s="12" t="n">
        <x:v>11.18</x:v>
      </x:c>
      <x:c r="F120" s="12" t="n">
        <x:v>6.7</x:v>
      </x:c>
      <x:c r="G120" t="str">
        <x:v>mixed - markdown primary, PDF filled gaps</x:v>
      </x:c>
    </x:row>
    <x:row r="121">
      <x:c r="A121" t="str">
        <x:v>Sipadan</x:v>
      </x:c>
      <x:c r="B121" t="str">
        <x:v>Sabah</x:v>
      </x:c>
      <x:c r="C121" t="n">
        <x:v>2017</x:v>
      </x:c>
      <x:c r="D121" s="12" t="n">
        <x:v>49.95</x:v>
      </x:c>
      <x:c r="E121" s="12" t="n">
        <x:v>6.46</x:v>
      </x:c>
      <x:c r="F121" s="12" t="n">
        <x:v>6.7</x:v>
      </x:c>
      <x:c r="G121" t="str">
        <x:v>mixed - markdown primary, PDF filled gaps</x:v>
      </x:c>
    </x:row>
    <x:row r="122">
      <x:c r="A122" t="str">
        <x:v>Southern Semporna</x:v>
      </x:c>
      <x:c r="B122" t="str">
        <x:v>Sabah</x:v>
      </x:c>
      <x:c r="C122" t="n">
        <x:v>2017</x:v>
      </x:c>
      <x:c r="D122" s="12" t="n">
        <x:v>33.6</x:v>
      </x:c>
      <x:c r="E122" s="12"/>
      <x:c r="F122" s="12" t="n">
        <x:v>6.7</x:v>
      </x:c>
      <x:c r="G122" t="str">
        <x:v>mixed - markdown primary, PDF filled gaps</x:v>
      </x:c>
    </x:row>
    <x:row r="123">
      <x:c r="A123" t="str">
        <x:v>Tiga</x:v>
      </x:c>
      <x:c r="B123" t="str">
        <x:v>Sabah</x:v>
      </x:c>
      <x:c r="C123" t="n">
        <x:v>2017</x:v>
      </x:c>
      <x:c r="D123" s="12" t="n">
        <x:v>35.63</x:v>
      </x:c>
      <x:c r="E123" s="12" t="n">
        <x:v>-7.8</x:v>
      </x:c>
      <x:c r="F123" s="12" t="n">
        <x:v>6.7</x:v>
      </x:c>
      <x:c r="G123" t="str">
        <x:v>mixed - markdown primary, PDF filled gaps</x:v>
      </x:c>
    </x:row>
    <x:row r="124">
      <x:c r="A124" t="str">
        <x:v>Tun Sakaran Marine Park</x:v>
      </x:c>
      <x:c r="B124" t="str">
        <x:v>Sabah</x:v>
      </x:c>
      <x:c r="C124" t="n">
        <x:v>2017</x:v>
      </x:c>
      <x:c r="D124" s="12" t="n">
        <x:v>50.67</x:v>
      </x:c>
      <x:c r="E124" s="12" t="n">
        <x:v>3.08</x:v>
      </x:c>
      <x:c r="F124" s="12" t="n">
        <x:v>6.7</x:v>
      </x:c>
      <x:c r="G124" t="str">
        <x:v>mixed - markdown primary, PDF filled gaps</x:v>
      </x:c>
    </x:row>
    <x:row r="125">
      <x:c r="A125" t="str">
        <x:v>Tunku Abdul Rahman Park</x:v>
      </x:c>
      <x:c r="B125" t="str">
        <x:v>Sabah</x:v>
      </x:c>
      <x:c r="C125" t="n">
        <x:v>2017</x:v>
      </x:c>
      <x:c r="D125" s="12" t="n">
        <x:v>37.81</x:v>
      </x:c>
      <x:c r="E125" s="12" t="n">
        <x:v>-12.43</x:v>
      </x:c>
      <x:c r="F125" s="12" t="n">
        <x:v>6.7</x:v>
      </x:c>
      <x:c r="G125" t="str">
        <x:v>mixed - markdown primary, PDF filled gaps</x:v>
      </x:c>
    </x:row>
    <x:row r="126">
      <x:c r="A126" t="str">
        <x:v>Usukan Cove</x:v>
      </x:c>
      <x:c r="B126" t="str">
        <x:v>Sabah</x:v>
      </x:c>
      <x:c r="C126" t="n">
        <x:v>2017</x:v>
      </x:c>
      <x:c r="D126" s="12" t="n">
        <x:v>25.84</x:v>
      </x:c>
      <x:c r="E126" s="12" t="n">
        <x:v>-7.18</x:v>
      </x:c>
      <x:c r="F126" s="12" t="n">
        <x:v>6.7</x:v>
      </x:c>
      <x:c r="G126" t="str">
        <x:v>mixed - markdown primary, PDF filled gaps</x:v>
      </x:c>
    </x:row>
    <x:row r="127">
      <x:c r="A127" t="str">
        <x:v>Miri</x:v>
      </x:c>
      <x:c r="B127" t="str">
        <x:v>Sarawak</x:v>
      </x:c>
      <x:c r="C127" t="n">
        <x:v>2017</x:v>
      </x:c>
      <x:c r="D127" s="12" t="n">
        <x:v>54.9</x:v>
      </x:c>
      <x:c r="E127" s="12" t="n">
        <x:v>11.25</x:v>
      </x:c>
      <x:c r="F127" s="12" t="n">
        <x:v>1.97</x:v>
      </x:c>
      <x:c r="G127" t="str">
        <x:v>mixed - markdown primary, PDF filled gaps</x:v>
      </x:c>
    </x:row>
    <x:row r="128">
      <x:c r="A128" t="str">
        <x:v>Bidong &amp; Yu</x:v>
      </x:c>
      <x:c r="B128" t="str">
        <x:v>Terengganu</x:v>
      </x:c>
      <x:c r="C128" t="n">
        <x:v>2017</x:v>
      </x:c>
      <x:c r="D128" s="12" t="n">
        <x:v>48.33</x:v>
      </x:c>
      <x:c r="E128" s="12" t="n">
        <x:v>-5.01</x:v>
      </x:c>
      <x:c r="F128" s="12" t="n">
        <x:v>1.61</x:v>
      </x:c>
      <x:c r="G128" t="str">
        <x:v>mixed - markdown primary, PDF filled gaps</x:v>
      </x:c>
    </x:row>
    <x:row r="129">
      <x:c r="A129" t="str">
        <x:v>Kapas</x:v>
      </x:c>
      <x:c r="B129" t="str">
        <x:v>Terengganu</x:v>
      </x:c>
      <x:c r="C129" t="n">
        <x:v>2017</x:v>
      </x:c>
      <x:c r="D129" s="12" t="n">
        <x:v>50.01</x:v>
      </x:c>
      <x:c r="E129" s="12" t="n">
        <x:v>-0.12</x:v>
      </x:c>
      <x:c r="F129" s="12" t="n">
        <x:v>1.61</x:v>
      </x:c>
      <x:c r="G129" t="str">
        <x:v>markdown only</x:v>
      </x:c>
    </x:row>
    <x:row r="130">
      <x:c r="A130" t="str">
        <x:v>Perhentian</x:v>
      </x:c>
      <x:c r="B130" t="str">
        <x:v>Terengganu</x:v>
      </x:c>
      <x:c r="C130" t="n">
        <x:v>2017</x:v>
      </x:c>
      <x:c r="D130" s="12" t="n">
        <x:v>42.32</x:v>
      </x:c>
      <x:c r="E130" s="12" t="n">
        <x:v>-9.43</x:v>
      </x:c>
      <x:c r="F130" s="12" t="n">
        <x:v>1.61</x:v>
      </x:c>
      <x:c r="G130" t="str">
        <x:v>mixed - markdown primary, PDF filled gaps</x:v>
      </x:c>
    </x:row>
    <x:row r="131">
      <x:c r="A131" t="str">
        <x:v>Redang</x:v>
      </x:c>
      <x:c r="B131" t="str">
        <x:v>Terengganu</x:v>
      </x:c>
      <x:c r="C131" t="n">
        <x:v>2017</x:v>
      </x:c>
      <x:c r="D131" s="12" t="n">
        <x:v>49.95</x:v>
      </x:c>
      <x:c r="E131" s="12" t="n">
        <x:v>-5.46</x:v>
      </x:c>
      <x:c r="F131" s="12" t="n">
        <x:v>1.61</x:v>
      </x:c>
      <x:c r="G131" t="str">
        <x:v>mixed - markdown primary, PDF filled gaps</x:v>
      </x:c>
    </x:row>
    <x:row r="132">
      <x:c r="A132" t="str">
        <x:v>Tenggol</x:v>
      </x:c>
      <x:c r="B132" t="str">
        <x:v>Terengganu</x:v>
      </x:c>
      <x:c r="C132" t="n">
        <x:v>2017</x:v>
      </x:c>
      <x:c r="D132" s="12" t="n">
        <x:v>52.92</x:v>
      </x:c>
      <x:c r="E132" s="12" t="n">
        <x:v>-7.39</x:v>
      </x:c>
      <x:c r="F132" s="12" t="n">
        <x:v>1.61</x:v>
      </x:c>
      <x:c r="G132" t="str">
        <x:v>mixed - markdown primary, PDF filled gaps</x:v>
      </x:c>
    </x:row>
    <x:row r="133">
      <x:c r="A133" t="str">
        <x:v>Aur &amp; Dayang</x:v>
      </x:c>
      <x:c r="B133" t="str">
        <x:v>Johor</x:v>
      </x:c>
      <x:c r="C133" t="n">
        <x:v>2018</x:v>
      </x:c>
      <x:c r="D133" s="12" t="n">
        <x:v>44.58</x:v>
      </x:c>
      <x:c r="E133" s="12"/>
      <x:c r="F133" s="12" t="n">
        <x:v>0.15</x:v>
      </x:c>
      <x:c r="G133" t="str">
        <x:v>mixed - markdown primary, PDF filled gaps</x:v>
      </x:c>
    </x:row>
    <x:row r="134">
      <x:c r="A134" t="str">
        <x:v>Pemanggil</x:v>
      </x:c>
      <x:c r="B134" t="str">
        <x:v>Johor</x:v>
      </x:c>
      <x:c r="C134" t="n">
        <x:v>2018</x:v>
      </x:c>
      <x:c r="D134" s="12" t="n">
        <x:v>55.79</x:v>
      </x:c>
      <x:c r="E134" s="12" t="n">
        <x:v>4.39</x:v>
      </x:c>
      <x:c r="F134" s="12" t="n">
        <x:v>0.15</x:v>
      </x:c>
      <x:c r="G134" t="str">
        <x:v>mixed - markdown primary, PDF filled gaps</x:v>
      </x:c>
    </x:row>
    <x:row r="135">
      <x:c r="A135" t="str">
        <x:v>Rawa</x:v>
      </x:c>
      <x:c r="B135" t="str">
        <x:v>Johor</x:v>
      </x:c>
      <x:c r="C135" t="n">
        <x:v>2018</x:v>
      </x:c>
      <x:c r="D135" s="12" t="n">
        <x:v>60.63</x:v>
      </x:c>
      <x:c r="E135" s="12" t="n">
        <x:v>16.88</x:v>
      </x:c>
      <x:c r="F135" s="12" t="n">
        <x:v>0.15</x:v>
      </x:c>
      <x:c r="G135" t="str">
        <x:v>mixed - markdown primary, PDF filled gaps</x:v>
      </x:c>
    </x:row>
    <x:row r="136">
      <x:c r="A136" t="str">
        <x:v>Sibu</x:v>
      </x:c>
      <x:c r="B136" t="str">
        <x:v>Johor</x:v>
      </x:c>
      <x:c r="C136" t="n">
        <x:v>2018</x:v>
      </x:c>
      <x:c r="D136" s="12" t="n">
        <x:v>56.88</x:v>
      </x:c>
      <x:c r="E136" s="12" t="n">
        <x:v>-1.98</x:v>
      </x:c>
      <x:c r="F136" s="12" t="n">
        <x:v>0.15</x:v>
      </x:c>
      <x:c r="G136" t="str">
        <x:v>mixed - markdown primary, PDF filled gaps</x:v>
      </x:c>
    </x:row>
    <x:row r="137">
      <x:c r="A137" t="str">
        <x:v>Tinggi</x:v>
      </x:c>
      <x:c r="B137" t="str">
        <x:v>Johor</x:v>
      </x:c>
      <x:c r="C137" t="n">
        <x:v>2018</x:v>
      </x:c>
      <x:c r="D137" s="12" t="n">
        <x:v>60.63</x:v>
      </x:c>
      <x:c r="E137" s="12" t="n">
        <x:v>-3.9</x:v>
      </x:c>
      <x:c r="F137" s="12" t="n">
        <x:v>0.15</x:v>
      </x:c>
      <x:c r="G137" t="str">
        <x:v>mixed - markdown primary, PDF filled gaps</x:v>
      </x:c>
    </x:row>
    <x:row r="138">
      <x:c r="A138" t="str">
        <x:v>Payar</x:v>
      </x:c>
      <x:c r="B138" t="str">
        <x:v>Kedah</x:v>
      </x:c>
      <x:c r="C138" t="n">
        <x:v>2018</x:v>
      </x:c>
      <x:c r="D138" s="12" t="n">
        <x:v>53.38</x:v>
      </x:c>
      <x:c r="E138" s="12" t="n">
        <x:v>2</x:v>
      </x:c>
      <x:c r="F138" s="12" t="n">
        <x:v>0.32</x:v>
      </x:c>
      <x:c r="G138" t="str">
        <x:v>mixed - markdown primary, PDF filled gaps</x:v>
      </x:c>
    </x:row>
    <x:row r="139">
      <x:c r="A139" t="str">
        <x:v>Tioman</x:v>
      </x:c>
      <x:c r="B139" t="str">
        <x:v>Pahang</x:v>
      </x:c>
      <x:c r="C139" t="n">
        <x:v>2018</x:v>
      </x:c>
      <x:c r="D139" s="12" t="n">
        <x:v>62.6</x:v>
      </x:c>
      <x:c r="E139" s="12" t="n">
        <x:v>-3.77</x:v>
      </x:c>
      <x:c r="F139" s="12" t="n">
        <x:v>0.15</x:v>
      </x:c>
      <x:c r="G139" t="str">
        <x:v>mixed - markdown primary, PDF filled gaps</x:v>
      </x:c>
    </x:row>
    <x:row r="140">
      <x:c r="A140" t="str">
        <x:v>Pangkor Laut</x:v>
      </x:c>
      <x:c r="B140" t="str">
        <x:v>Perak</x:v>
      </x:c>
      <x:c r="C140" t="n">
        <x:v>2018</x:v>
      </x:c>
      <x:c r="D140" s="12" t="n">
        <x:v>28.75</x:v>
      </x:c>
      <x:c r="E140" s="12" t="n">
        <x:v>-37.5</x:v>
      </x:c>
      <x:c r="F140" s="12" t="n">
        <x:v>0.32</x:v>
      </x:c>
      <x:c r="G140" t="str">
        <x:v>markdown only</x:v>
      </x:c>
    </x:row>
    <x:row r="141">
      <x:c r="A141" t="str">
        <x:v>Sembilan</x:v>
      </x:c>
      <x:c r="B141" t="str">
        <x:v>Perak</x:v>
      </x:c>
      <x:c r="C141" t="n">
        <x:v>2018</x:v>
      </x:c>
      <x:c r="D141" s="12" t="n">
        <x:v>25.49</x:v>
      </x:c>
      <x:c r="E141" s="12" t="n">
        <x:v>1.95</x:v>
      </x:c>
      <x:c r="F141" s="12" t="n">
        <x:v>0.32</x:v>
      </x:c>
      <x:c r="G141" t="str">
        <x:v>mixed - markdown primary, PDF filled gaps</x:v>
      </x:c>
    </x:row>
    <x:row r="142">
      <x:c r="A142" t="str">
        <x:v>Kapalai</x:v>
      </x:c>
      <x:c r="B142" t="str">
        <x:v>Sabah</x:v>
      </x:c>
      <x:c r="C142" t="n">
        <x:v>2018</x:v>
      </x:c>
      <x:c r="D142" s="12" t="n">
        <x:v>18.44</x:v>
      </x:c>
      <x:c r="E142" s="12" t="n">
        <x:v>5.63</x:v>
      </x:c>
      <x:c r="F142" s="12" t="n">
        <x:v>1.71</x:v>
      </x:c>
      <x:c r="G142" t="str">
        <x:v>mixed - markdown primary, PDF filled gaps</x:v>
      </x:c>
    </x:row>
    <x:row r="143">
      <x:c r="A143" t="str">
        <x:v>Labuan</x:v>
      </x:c>
      <x:c r="B143" t="str">
        <x:v>Sabah</x:v>
      </x:c>
      <x:c r="C143" t="n">
        <x:v>2018</x:v>
      </x:c>
      <x:c r="D143" s="12" t="n">
        <x:v>23.44</x:v>
      </x:c>
      <x:c r="E143" s="12" t="n">
        <x:v>-9.115</x:v>
      </x:c>
      <x:c r="F143" s="12" t="n">
        <x:v>1.71</x:v>
      </x:c>
      <x:c r="G143" t="str">
        <x:v>mixed - markdown primary, PDF filled gaps</x:v>
      </x:c>
    </x:row>
    <x:row r="144">
      <x:c r="A144" t="str">
        <x:v>Lahad Datu</x:v>
      </x:c>
      <x:c r="B144" t="str">
        <x:v>Sabah</x:v>
      </x:c>
      <x:c r="C144" t="n">
        <x:v>2018</x:v>
      </x:c>
      <x:c r="D144" s="12" t="n">
        <x:v>24.66</x:v>
      </x:c>
      <x:c r="E144" s="12" t="n">
        <x:v>-6.34</x:v>
      </x:c>
      <x:c r="F144" s="12" t="n">
        <x:v>1.71</x:v>
      </x:c>
      <x:c r="G144" t="str">
        <x:v>mixed - markdown primary, PDF filled gaps</x:v>
      </x:c>
    </x:row>
    <x:row r="145">
      <x:c r="A145" t="str">
        <x:v>Lankayan</x:v>
      </x:c>
      <x:c r="B145" t="str">
        <x:v>Sabah</x:v>
      </x:c>
      <x:c r="C145" t="n">
        <x:v>2018</x:v>
      </x:c>
      <x:c r="D145" s="12" t="n">
        <x:v>43.67</x:v>
      </x:c>
      <x:c r="E145" s="12" t="n">
        <x:v>6.59</x:v>
      </x:c>
      <x:c r="F145" s="12" t="n">
        <x:v>1.71</x:v>
      </x:c>
      <x:c r="G145" t="str">
        <x:v>mixed - markdown primary, PDF filled gaps</x:v>
      </x:c>
    </x:row>
    <x:row r="146">
      <x:c r="A146" t="str">
        <x:v>Mabul</x:v>
      </x:c>
      <x:c r="B146" t="str">
        <x:v>Sabah</x:v>
      </x:c>
      <x:c r="C146" t="n">
        <x:v>2018</x:v>
      </x:c>
      <x:c r="D146" s="12" t="n">
        <x:v>34.51</x:v>
      </x:c>
      <x:c r="E146" s="12" t="n">
        <x:v>4.1</x:v>
      </x:c>
      <x:c r="F146" s="12" t="n">
        <x:v>1.71</x:v>
      </x:c>
      <x:c r="G146" t="str">
        <x:v>mixed - markdown primary, PDF filled gaps</x:v>
      </x:c>
    </x:row>
    <x:row r="147">
      <x:c r="A147" t="str">
        <x:v>Mantanani</x:v>
      </x:c>
      <x:c r="B147" t="str">
        <x:v>Sabah</x:v>
      </x:c>
      <x:c r="C147" t="n">
        <x:v>2018</x:v>
      </x:c>
      <x:c r="D147" s="12" t="n">
        <x:v>30.83</x:v>
      </x:c>
      <x:c r="E147" s="12" t="n">
        <x:v>-9.38</x:v>
      </x:c>
      <x:c r="F147" s="12" t="n">
        <x:v>1.71</x:v>
      </x:c>
      <x:c r="G147" t="str">
        <x:v>verified - markdown corrected an error in the PDF pass</x:v>
      </x:c>
    </x:row>
    <x:row r="148">
      <x:c r="A148" t="str">
        <x:v>Mataking</x:v>
      </x:c>
      <x:c r="B148" t="str">
        <x:v>Sabah</x:v>
      </x:c>
      <x:c r="C148" t="n">
        <x:v>2018</x:v>
      </x:c>
      <x:c r="D148" s="12" t="n">
        <x:v>23.03</x:v>
      </x:c>
      <x:c r="E148" s="12" t="n">
        <x:v>-4.26</x:v>
      </x:c>
      <x:c r="F148" s="12" t="n">
        <x:v>1.71</x:v>
      </x:c>
      <x:c r="G148" t="str">
        <x:v>mixed - markdown primary, PDF filled gaps</x:v>
      </x:c>
    </x:row>
    <x:row r="149">
      <x:c r="A149" t="str">
        <x:v>Penyu</x:v>
      </x:c>
      <x:c r="B149" t="str">
        <x:v>Sabah</x:v>
      </x:c>
      <x:c r="C149" t="n">
        <x:v>2018</x:v>
      </x:c>
      <x:c r="D149" s="12" t="n">
        <x:v>45.76</x:v>
      </x:c>
      <x:c r="E149" s="12" t="n">
        <x:v>2.91</x:v>
      </x:c>
      <x:c r="F149" s="12" t="n">
        <x:v>1.71</x:v>
      </x:c>
      <x:c r="G149" t="str">
        <x:v>mixed - markdown primary, PDF filled gaps</x:v>
      </x:c>
    </x:row>
    <x:row r="150">
      <x:c r="A150" t="str">
        <x:v>Pom Pom</x:v>
      </x:c>
      <x:c r="B150" t="str">
        <x:v>Sabah</x:v>
      </x:c>
      <x:c r="C150" t="n">
        <x:v>2018</x:v>
      </x:c>
      <x:c r="D150" s="12" t="n">
        <x:v>12.01</x:v>
      </x:c>
      <x:c r="E150" s="12" t="n">
        <x:v>-3.375</x:v>
      </x:c>
      <x:c r="F150" s="12" t="n">
        <x:v>1.71</x:v>
      </x:c>
      <x:c r="G150" t="str">
        <x:v>mixed - markdown primary, PDF filled gaps</x:v>
      </x:c>
    </x:row>
    <x:row r="151">
      <x:c r="A151" t="str">
        <x:v>Sipadan</x:v>
      </x:c>
      <x:c r="B151" t="str">
        <x:v>Sabah</x:v>
      </x:c>
      <x:c r="C151" t="n">
        <x:v>2018</x:v>
      </x:c>
      <x:c r="D151" s="12" t="n">
        <x:v>43.49</x:v>
      </x:c>
      <x:c r="E151" s="12" t="n">
        <x:v>-6.46</x:v>
      </x:c>
      <x:c r="F151" s="12" t="n">
        <x:v>1.71</x:v>
      </x:c>
      <x:c r="G151" t="str">
        <x:v>markdown only</x:v>
      </x:c>
    </x:row>
    <x:row r="152">
      <x:c r="A152" t="str">
        <x:v>Tun Sakaran Marine Park</x:v>
      </x:c>
      <x:c r="B152" t="str">
        <x:v>Sabah</x:v>
      </x:c>
      <x:c r="C152" t="n">
        <x:v>2018</x:v>
      </x:c>
      <x:c r="D152" s="12" t="n">
        <x:v>54.38</x:v>
      </x:c>
      <x:c r="E152" s="12" t="n">
        <x:v>3.71</x:v>
      </x:c>
      <x:c r="F152" s="12" t="n">
        <x:v>1.71</x:v>
      </x:c>
      <x:c r="G152" t="str">
        <x:v>mixed - markdown primary, PDF filled gaps</x:v>
      </x:c>
    </x:row>
    <x:row r="153">
      <x:c r="A153" t="str">
        <x:v>Usukan Cove</x:v>
      </x:c>
      <x:c r="B153" t="str">
        <x:v>Sabah</x:v>
      </x:c>
      <x:c r="C153" t="n">
        <x:v>2018</x:v>
      </x:c>
      <x:c r="D153" s="12" t="n">
        <x:v>34.17</x:v>
      </x:c>
      <x:c r="E153" s="12" t="n">
        <x:v>8.33</x:v>
      </x:c>
      <x:c r="F153" s="12" t="n">
        <x:v>1.71</x:v>
      </x:c>
      <x:c r="G153" t="str">
        <x:v>verified - markdown corrected an error in the PDF pass</x:v>
      </x:c>
    </x:row>
    <x:row r="154">
      <x:c r="A154" t="str">
        <x:v>Miri</x:v>
      </x:c>
      <x:c r="B154" t="str">
        <x:v>Sarawak</x:v>
      </x:c>
      <x:c r="C154" t="n">
        <x:v>2018</x:v>
      </x:c>
      <x:c r="D154" s="12" t="n">
        <x:v>46.98</x:v>
      </x:c>
      <x:c r="E154" s="12" t="n">
        <x:v>-7.92</x:v>
      </x:c>
      <x:c r="F154" s="12" t="n">
        <x:v>1.27</x:v>
      </x:c>
      <x:c r="G154" t="str">
        <x:v>mixed - markdown primary, PDF filled gaps</x:v>
      </x:c>
    </x:row>
    <x:row r="155">
      <x:c r="A155" t="str">
        <x:v>Bidong &amp; Yu</x:v>
      </x:c>
      <x:c r="B155" t="str">
        <x:v>Terengganu</x:v>
      </x:c>
      <x:c r="C155" t="n">
        <x:v>2018</x:v>
      </x:c>
      <x:c r="D155" s="12" t="n">
        <x:v>51.98</x:v>
      </x:c>
      <x:c r="E155" s="12" t="n">
        <x:v>3.65</x:v>
      </x:c>
      <x:c r="F155" s="12" t="n">
        <x:v>2.56</x:v>
      </x:c>
      <x:c r="G155" t="str">
        <x:v>mixed - markdown primary, PDF filled gaps</x:v>
      </x:c>
    </x:row>
    <x:row r="156">
      <x:c r="A156" t="str">
        <x:v>Kapas</x:v>
      </x:c>
      <x:c r="B156" t="str">
        <x:v>Terengganu</x:v>
      </x:c>
      <x:c r="C156" t="n">
        <x:v>2018</x:v>
      </x:c>
      <x:c r="D156" s="12" t="n">
        <x:v>44.88</x:v>
      </x:c>
      <x:c r="E156" s="12" t="n">
        <x:v>-5.13</x:v>
      </x:c>
      <x:c r="F156" s="12" t="n">
        <x:v>2.56</x:v>
      </x:c>
      <x:c r="G156" t="str">
        <x:v>mixed - markdown primary, PDF filled gaps</x:v>
      </x:c>
    </x:row>
    <x:row r="157">
      <x:c r="A157" t="str">
        <x:v>Lang Tengah</x:v>
      </x:c>
      <x:c r="B157" t="str">
        <x:v>Terengganu</x:v>
      </x:c>
      <x:c r="C157" t="n">
        <x:v>2018</x:v>
      </x:c>
      <x:c r="D157" s="12" t="n">
        <x:v>36.88</x:v>
      </x:c>
      <x:c r="E157" s="12"/>
      <x:c r="F157" s="12" t="n">
        <x:v>2.56</x:v>
      </x:c>
      <x:c r="G157" t="str">
        <x:v>mixed - markdown primary, PDF filled gaps</x:v>
      </x:c>
    </x:row>
    <x:row r="158">
      <x:c r="A158" t="str">
        <x:v>Perhentian</x:v>
      </x:c>
      <x:c r="B158" t="str">
        <x:v>Terengganu</x:v>
      </x:c>
      <x:c r="C158" t="n">
        <x:v>2018</x:v>
      </x:c>
      <x:c r="D158" s="12" t="n">
        <x:v>43.69</x:v>
      </x:c>
      <x:c r="E158" s="12" t="n">
        <x:v>1.37</x:v>
      </x:c>
      <x:c r="F158" s="12" t="n">
        <x:v>2.56</x:v>
      </x:c>
      <x:c r="G158" t="str">
        <x:v>mixed - markdown primary, PDF filled gaps</x:v>
      </x:c>
    </x:row>
    <x:row r="159">
      <x:c r="A159" t="str">
        <x:v>Redang</x:v>
      </x:c>
      <x:c r="B159" t="str">
        <x:v>Terengganu</x:v>
      </x:c>
      <x:c r="C159" t="n">
        <x:v>2018</x:v>
      </x:c>
      <x:c r="D159" s="12" t="n">
        <x:v>44.22</x:v>
      </x:c>
      <x:c r="E159" s="12" t="n">
        <x:v>-5.73</x:v>
      </x:c>
      <x:c r="F159" s="12" t="n">
        <x:v>2.56</x:v>
      </x:c>
      <x:c r="G159" t="str">
        <x:v>mixed - markdown primary, PDF filled gaps</x:v>
      </x:c>
    </x:row>
    <x:row r="160">
      <x:c r="A160" t="str">
        <x:v>Tenggol</x:v>
      </x:c>
      <x:c r="B160" t="str">
        <x:v>Terengganu</x:v>
      </x:c>
      <x:c r="C160" t="n">
        <x:v>2018</x:v>
      </x:c>
      <x:c r="D160" s="12" t="n">
        <x:v>51.77</x:v>
      </x:c>
      <x:c r="E160" s="12" t="n">
        <x:v>-1.15</x:v>
      </x:c>
      <x:c r="F160" s="12" t="n">
        <x:v>2.56</x:v>
      </x:c>
      <x:c r="G160" t="str">
        <x:v>mixed - markdown primary, PDF filled gaps</x:v>
      </x:c>
    </x:row>
    <x:row r="161">
      <x:c r="A161" t="str">
        <x:v>Aur &amp; Dayang</x:v>
      </x:c>
      <x:c r="B161" t="str">
        <x:v>Johor</x:v>
      </x:c>
      <x:c r="C161" t="n">
        <x:v>2019</x:v>
      </x:c>
      <x:c r="D161" s="12" t="n">
        <x:v>40.21</x:v>
      </x:c>
      <x:c r="E161" s="12" t="n">
        <x:v>-4.37</x:v>
      </x:c>
      <x:c r="F161" s="12" t="n">
        <x:v>0.3</x:v>
      </x:c>
      <x:c r="G161" t="str">
        <x:v>mixed - markdown primary, PDF filled gaps</x:v>
      </x:c>
    </x:row>
    <x:row r="162">
      <x:c r="A162" t="str">
        <x:v>Pemanggil</x:v>
      </x:c>
      <x:c r="B162" t="str">
        <x:v>Johor</x:v>
      </x:c>
      <x:c r="C162" t="n">
        <x:v>2019</x:v>
      </x:c>
      <x:c r="D162" s="12" t="n">
        <x:v>52.03</x:v>
      </x:c>
      <x:c r="E162" s="12" t="n">
        <x:v>-3.76</x:v>
      </x:c>
      <x:c r="F162" s="12" t="n">
        <x:v>0.3</x:v>
      </x:c>
      <x:c r="G162" t="str">
        <x:v>mixed - markdown primary, PDF filled gaps</x:v>
      </x:c>
    </x:row>
    <x:row r="163">
      <x:c r="A163" t="str">
        <x:v>Rawa</x:v>
      </x:c>
      <x:c r="B163" t="str">
        <x:v>Johor</x:v>
      </x:c>
      <x:c r="C163" t="n">
        <x:v>2019</x:v>
      </x:c>
      <x:c r="D163" s="12" t="n">
        <x:v>74.63</x:v>
      </x:c>
      <x:c r="E163" s="12" t="n">
        <x:v>14</x:v>
      </x:c>
      <x:c r="F163" s="12" t="n">
        <x:v>0.3</x:v>
      </x:c>
      <x:c r="G163" t="str">
        <x:v>mixed - markdown primary, PDF filled gaps</x:v>
      </x:c>
    </x:row>
    <x:row r="164">
      <x:c r="A164" t="str">
        <x:v>Sibu</x:v>
      </x:c>
      <x:c r="B164" t="str">
        <x:v>Johor</x:v>
      </x:c>
      <x:c r="C164" t="n">
        <x:v>2019</x:v>
      </x:c>
      <x:c r="D164" s="12" t="n">
        <x:v>55.84</x:v>
      </x:c>
      <x:c r="E164" s="12" t="n">
        <x:v>-1.04</x:v>
      </x:c>
      <x:c r="F164" s="12" t="n">
        <x:v>0.3</x:v>
      </x:c>
      <x:c r="G164" t="str">
        <x:v>mixed - markdown primary, PDF filled gaps</x:v>
      </x:c>
    </x:row>
    <x:row r="165">
      <x:c r="A165" t="str">
        <x:v>Tinggi</x:v>
      </x:c>
      <x:c r="B165" t="str">
        <x:v>Johor</x:v>
      </x:c>
      <x:c r="C165" t="n">
        <x:v>2019</x:v>
      </x:c>
      <x:c r="D165" s="12" t="n">
        <x:v>58.59</x:v>
      </x:c>
      <x:c r="E165" s="12" t="n">
        <x:v>-2.04</x:v>
      </x:c>
      <x:c r="F165" s="12" t="n">
        <x:v>0.3</x:v>
      </x:c>
      <x:c r="G165" t="str">
        <x:v>mixed - markdown primary, PDF filled gaps</x:v>
      </x:c>
    </x:row>
    <x:row r="166">
      <x:c r="A166" t="str">
        <x:v>Payar</x:v>
      </x:c>
      <x:c r="B166" t="str">
        <x:v>Kedah</x:v>
      </x:c>
      <x:c r="C166" t="n">
        <x:v>2019</x:v>
      </x:c>
      <x:c r="D166" s="12" t="n">
        <x:v>50.88</x:v>
      </x:c>
      <x:c r="E166" s="12" t="n">
        <x:v>-2.5</x:v>
      </x:c>
      <x:c r="F166" s="12" t="n">
        <x:v>3.45</x:v>
      </x:c>
      <x:c r="G166" t="str">
        <x:v>mixed - markdown primary, PDF filled gaps</x:v>
      </x:c>
    </x:row>
    <x:row r="167">
      <x:c r="A167" t="str">
        <x:v>Tioman</x:v>
      </x:c>
      <x:c r="B167" t="str">
        <x:v>Pahang</x:v>
      </x:c>
      <x:c r="C167" t="n">
        <x:v>2019</x:v>
      </x:c>
      <x:c r="D167" s="12" t="n">
        <x:v>63.82</x:v>
      </x:c>
      <x:c r="E167" s="12" t="n">
        <x:v>1.22</x:v>
      </x:c>
      <x:c r="F167" s="12" t="n">
        <x:v>0.3</x:v>
      </x:c>
      <x:c r="G167" t="str">
        <x:v>mixed - markdown primary, PDF filled gaps</x:v>
      </x:c>
    </x:row>
    <x:row r="168">
      <x:c r="A168" t="str">
        <x:v>Pangkor Laut</x:v>
      </x:c>
      <x:c r="B168" t="str">
        <x:v>Perak</x:v>
      </x:c>
      <x:c r="C168" t="n">
        <x:v>2019</x:v>
      </x:c>
      <x:c r="D168" s="12" t="n">
        <x:v>53.75</x:v>
      </x:c>
      <x:c r="E168" s="12" t="n">
        <x:v>25</x:v>
      </x:c>
      <x:c r="F168" s="12" t="n">
        <x:v>3.45</x:v>
      </x:c>
      <x:c r="G168" t="str">
        <x:v>mixed - markdown primary, PDF filled gaps</x:v>
      </x:c>
    </x:row>
    <x:row r="169">
      <x:c r="A169" t="str">
        <x:v>Sembilan</x:v>
      </x:c>
      <x:c r="B169" t="str">
        <x:v>Perak</x:v>
      </x:c>
      <x:c r="C169" t="n">
        <x:v>2019</x:v>
      </x:c>
      <x:c r="D169" s="12" t="n">
        <x:v>26.87</x:v>
      </x:c>
      <x:c r="E169" s="12" t="n">
        <x:v>1.38</x:v>
      </x:c>
      <x:c r="F169" s="12" t="n">
        <x:v>3.45</x:v>
      </x:c>
      <x:c r="G169" t="str">
        <x:v>mixed - markdown primary, PDF filled gaps</x:v>
      </x:c>
    </x:row>
    <x:row r="170">
      <x:c r="A170" t="str">
        <x:v>Kapalai</x:v>
      </x:c>
      <x:c r="B170" t="str">
        <x:v>Sabah</x:v>
      </x:c>
      <x:c r="C170" t="n">
        <x:v>2019</x:v>
      </x:c>
      <x:c r="D170" s="12" t="n">
        <x:v>14.68</x:v>
      </x:c>
      <x:c r="E170" s="12" t="n">
        <x:v>-3.76</x:v>
      </x:c>
      <x:c r="F170" s="12" t="n">
        <x:v>7.74</x:v>
      </x:c>
      <x:c r="G170" t="str">
        <x:v>mixed - markdown primary, PDF filled gaps</x:v>
      </x:c>
    </x:row>
    <x:row r="171">
      <x:c r="A171" t="str">
        <x:v>Labuan</x:v>
      </x:c>
      <x:c r="B171" t="str">
        <x:v>Sabah</x:v>
      </x:c>
      <x:c r="C171" t="n">
        <x:v>2019</x:v>
      </x:c>
      <x:c r="D171" s="12" t="n">
        <x:v>29.54</x:v>
      </x:c>
      <x:c r="E171" s="12" t="n">
        <x:v>6.1</x:v>
      </x:c>
      <x:c r="F171" s="12" t="n">
        <x:v>7.74</x:v>
      </x:c>
      <x:c r="G171" t="str">
        <x:v>mixed - markdown primary, PDF filled gaps</x:v>
      </x:c>
    </x:row>
    <x:row r="172">
      <x:c r="A172" t="str">
        <x:v>Lahad Datu</x:v>
      </x:c>
      <x:c r="B172" t="str">
        <x:v>Sabah</x:v>
      </x:c>
      <x:c r="C172" t="n">
        <x:v>2019</x:v>
      </x:c>
      <x:c r="D172" s="12" t="n">
        <x:v>25.25</x:v>
      </x:c>
      <x:c r="E172" s="12" t="n">
        <x:v>0.59</x:v>
      </x:c>
      <x:c r="F172" s="12" t="n">
        <x:v>7.74</x:v>
      </x:c>
      <x:c r="G172" t="str">
        <x:v>mixed - markdown primary, PDF filled gaps</x:v>
      </x:c>
    </x:row>
    <x:row r="173">
      <x:c r="A173" t="str">
        <x:v>Lankayan</x:v>
      </x:c>
      <x:c r="B173" t="str">
        <x:v>Sabah</x:v>
      </x:c>
      <x:c r="C173" t="n">
        <x:v>2019</x:v>
      </x:c>
      <x:c r="D173" s="12" t="n">
        <x:v>35.88</x:v>
      </x:c>
      <x:c r="E173" s="12" t="n">
        <x:v>-7.79</x:v>
      </x:c>
      <x:c r="F173" s="12" t="n">
        <x:v>7.74</x:v>
      </x:c>
      <x:c r="G173" t="str">
        <x:v>mixed - markdown primary, PDF filled gaps</x:v>
      </x:c>
    </x:row>
    <x:row r="174">
      <x:c r="A174" t="str">
        <x:v>Mabul</x:v>
      </x:c>
      <x:c r="B174" t="str">
        <x:v>Sabah</x:v>
      </x:c>
      <x:c r="C174" t="n">
        <x:v>2019</x:v>
      </x:c>
      <x:c r="D174" s="12" t="n">
        <x:v>27.71</x:v>
      </x:c>
      <x:c r="E174" s="12" t="n">
        <x:v>-6.8</x:v>
      </x:c>
      <x:c r="F174" s="12" t="n">
        <x:v>7.74</x:v>
      </x:c>
      <x:c r="G174" t="str">
        <x:v>mixed - markdown primary, PDF filled gaps</x:v>
      </x:c>
    </x:row>
    <x:row r="175">
      <x:c r="A175" t="str">
        <x:v>Mantanani</x:v>
      </x:c>
      <x:c r="B175" t="str">
        <x:v>Sabah</x:v>
      </x:c>
      <x:c r="C175" t="n">
        <x:v>2019</x:v>
      </x:c>
      <x:c r="D175" s="12" t="n">
        <x:v>38.9</x:v>
      </x:c>
      <x:c r="E175" s="12" t="n">
        <x:v>8.07</x:v>
      </x:c>
      <x:c r="F175" s="12" t="n">
        <x:v>7.74</x:v>
      </x:c>
      <x:c r="G175" t="str">
        <x:v>markdown only</x:v>
      </x:c>
    </x:row>
    <x:row r="176">
      <x:c r="A176" t="str">
        <x:v>Mataking</x:v>
      </x:c>
      <x:c r="B176" t="str">
        <x:v>Sabah</x:v>
      </x:c>
      <x:c r="C176" t="n">
        <x:v>2019</x:v>
      </x:c>
      <x:c r="D176" s="12" t="n">
        <x:v>33.23</x:v>
      </x:c>
      <x:c r="E176" s="12" t="n">
        <x:v>10.2</x:v>
      </x:c>
      <x:c r="F176" s="12" t="n">
        <x:v>7.74</x:v>
      </x:c>
      <x:c r="G176" t="str">
        <x:v>mixed - markdown primary, PDF filled gaps</x:v>
      </x:c>
    </x:row>
    <x:row r="177">
      <x:c r="A177" t="str">
        <x:v>Pom Pom</x:v>
      </x:c>
      <x:c r="B177" t="str">
        <x:v>Sabah</x:v>
      </x:c>
      <x:c r="C177" t="n">
        <x:v>2019</x:v>
      </x:c>
      <x:c r="D177" s="12" t="n">
        <x:v>22.77</x:v>
      </x:c>
      <x:c r="E177" s="12" t="n">
        <x:v>10.76</x:v>
      </x:c>
      <x:c r="F177" s="12" t="n">
        <x:v>7.74</x:v>
      </x:c>
      <x:c r="G177" t="str">
        <x:v>mixed - markdown primary, PDF filled gaps</x:v>
      </x:c>
    </x:row>
    <x:row r="178">
      <x:c r="A178" t="str">
        <x:v>Usukan Cove</x:v>
      </x:c>
      <x:c r="B178" t="str">
        <x:v>Sabah</x:v>
      </x:c>
      <x:c r="C178" t="n">
        <x:v>2019</x:v>
      </x:c>
      <x:c r="D178" s="12" t="n">
        <x:v>53.02</x:v>
      </x:c>
      <x:c r="E178" s="12" t="n">
        <x:v>18.85</x:v>
      </x:c>
      <x:c r="F178" s="12" t="n">
        <x:v>7.74</x:v>
      </x:c>
      <x:c r="G178" t="str">
        <x:v>markdown only</x:v>
      </x:c>
    </x:row>
    <x:row r="179">
      <x:c r="A179" t="str">
        <x:v>Miri</x:v>
      </x:c>
      <x:c r="B179" t="str">
        <x:v>Sarawak</x:v>
      </x:c>
      <x:c r="C179" t="n">
        <x:v>2019</x:v>
      </x:c>
      <x:c r="D179" s="12" t="n">
        <x:v>50.93</x:v>
      </x:c>
      <x:c r="E179" s="12" t="n">
        <x:v>3.95</x:v>
      </x:c>
      <x:c r="F179" s="12" t="n">
        <x:v>0</x:v>
      </x:c>
      <x:c r="G179" t="str">
        <x:v>mixed - markdown primary, PDF filled gaps</x:v>
      </x:c>
    </x:row>
    <x:row r="180">
      <x:c r="A180" t="str">
        <x:v>Bidong &amp; Yu</x:v>
      </x:c>
      <x:c r="B180" t="str">
        <x:v>Terengganu</x:v>
      </x:c>
      <x:c r="C180" t="n">
        <x:v>2019</x:v>
      </x:c>
      <x:c r="D180" s="12" t="n">
        <x:v>44.59</x:v>
      </x:c>
      <x:c r="E180" s="12" t="n">
        <x:v>-7.39</x:v>
      </x:c>
      <x:c r="F180" s="12" t="n">
        <x:v>6.17</x:v>
      </x:c>
      <x:c r="G180" t="str">
        <x:v>mixed - markdown primary, PDF filled gaps</x:v>
      </x:c>
    </x:row>
    <x:row r="181">
      <x:c r="A181" t="str">
        <x:v>Kapas</x:v>
      </x:c>
      <x:c r="B181" t="str">
        <x:v>Terengganu</x:v>
      </x:c>
      <x:c r="C181" t="n">
        <x:v>2019</x:v>
      </x:c>
      <x:c r="D181" s="12" t="n">
        <x:v>47.38</x:v>
      </x:c>
      <x:c r="E181" s="12" t="n">
        <x:v>2.5</x:v>
      </x:c>
      <x:c r="F181" s="12" t="n">
        <x:v>6.17</x:v>
      </x:c>
      <x:c r="G181" t="str">
        <x:v>mixed - markdown primary, PDF filled gaps</x:v>
      </x:c>
    </x:row>
    <x:row r="182">
      <x:c r="A182" t="str">
        <x:v>Perhentian</x:v>
      </x:c>
      <x:c r="B182" t="str">
        <x:v>Terengganu</x:v>
      </x:c>
      <x:c r="C182" t="n">
        <x:v>2019</x:v>
      </x:c>
      <x:c r="D182" s="12" t="n">
        <x:v>35.5</x:v>
      </x:c>
      <x:c r="E182" s="12" t="n">
        <x:v>-8.19</x:v>
      </x:c>
      <x:c r="F182" s="12" t="n">
        <x:v>6.17</x:v>
      </x:c>
      <x:c r="G182" t="str">
        <x:v>mixed - markdown primary, PDF filled gaps</x:v>
      </x:c>
    </x:row>
    <x:row r="183">
      <x:c r="A183" t="str">
        <x:v>Redang</x:v>
      </x:c>
      <x:c r="B183" t="str">
        <x:v>Terengganu</x:v>
      </x:c>
      <x:c r="C183" t="n">
        <x:v>2019</x:v>
      </x:c>
      <x:c r="D183" s="12" t="n">
        <x:v>28.49</x:v>
      </x:c>
      <x:c r="E183" s="12" t="n">
        <x:v>-15.73</x:v>
      </x:c>
      <x:c r="F183" s="12" t="n">
        <x:v>6.17</x:v>
      </x:c>
      <x:c r="G183" t="str">
        <x:v>mixed - markdown primary, PDF filled gaps</x:v>
      </x:c>
    </x:row>
    <x:row r="184">
      <x:c r="A184" t="str">
        <x:v>Tenggol</x:v>
      </x:c>
      <x:c r="B184" t="str">
        <x:v>Terengganu</x:v>
      </x:c>
      <x:c r="C184" t="n">
        <x:v>2019</x:v>
      </x:c>
      <x:c r="D184" s="12" t="n">
        <x:v>47.19</x:v>
      </x:c>
      <x:c r="E184" s="12" t="n">
        <x:v>-4.58</x:v>
      </x:c>
      <x:c r="F184" s="12" t="n">
        <x:v>6.17</x:v>
      </x:c>
      <x:c r="G184" t="str">
        <x:v>mixed - markdown primary, PDF filled gaps</x:v>
      </x:c>
    </x:row>
    <x:row r="185">
      <x:c r="A185" t="str">
        <x:v>Aur &amp; Dayang</x:v>
      </x:c>
      <x:c r="B185" t="str">
        <x:v>Johor</x:v>
      </x:c>
      <x:c r="C185" t="n">
        <x:v>2020</x:v>
      </x:c>
      <x:c r="D185" s="12" t="n">
        <x:v>36.58</x:v>
      </x:c>
      <x:c r="E185" s="12" t="n">
        <x:v>-3.63</x:v>
      </x:c>
      <x:c r="F185" s="12" t="n">
        <x:v>0.91</x:v>
      </x:c>
      <x:c r="G185" t="str">
        <x:v>mixed - markdown primary, PDF filled gaps</x:v>
      </x:c>
    </x:row>
    <x:row r="186">
      <x:c r="A186" t="str">
        <x:v>Besar</x:v>
      </x:c>
      <x:c r="B186" t="str">
        <x:v>Johor</x:v>
      </x:c>
      <x:c r="C186" t="n">
        <x:v>2020</x:v>
      </x:c>
      <x:c r="D186" s="12" t="n">
        <x:v>35.17</x:v>
      </x:c>
      <x:c r="E186" s="12"/>
      <x:c r="F186" s="12" t="n">
        <x:v>0.91</x:v>
      </x:c>
      <x:c r="G186" t="str">
        <x:v>mixed - markdown primary, PDF filled gaps</x:v>
      </x:c>
    </x:row>
    <x:row r="187">
      <x:c r="A187" t="str">
        <x:v>Pemanggil</x:v>
      </x:c>
      <x:c r="B187" t="str">
        <x:v>Johor</x:v>
      </x:c>
      <x:c r="C187" t="n">
        <x:v>2020</x:v>
      </x:c>
      <x:c r="D187" s="12" t="n">
        <x:v>49.85</x:v>
      </x:c>
      <x:c r="E187" s="12" t="n">
        <x:v>-2.18</x:v>
      </x:c>
      <x:c r="F187" s="12" t="n">
        <x:v>0.91</x:v>
      </x:c>
      <x:c r="G187" t="str">
        <x:v>mixed - markdown primary, PDF filled gaps</x:v>
      </x:c>
    </x:row>
    <x:row r="188">
      <x:c r="A188" t="str">
        <x:v>Sibu</x:v>
      </x:c>
      <x:c r="B188" t="str">
        <x:v>Johor</x:v>
      </x:c>
      <x:c r="C188" t="n">
        <x:v>2020</x:v>
      </x:c>
      <x:c r="D188" s="12" t="n">
        <x:v>59.37</x:v>
      </x:c>
      <x:c r="E188" s="12" t="n">
        <x:v>3.53</x:v>
      </x:c>
      <x:c r="F188" s="12" t="n">
        <x:v>0.91</x:v>
      </x:c>
      <x:c r="G188" t="str">
        <x:v>mixed - markdown primary, PDF filled gaps</x:v>
      </x:c>
    </x:row>
    <x:row r="189">
      <x:c r="A189" t="str">
        <x:v>Tinggi</x:v>
      </x:c>
      <x:c r="B189" t="str">
        <x:v>Johor</x:v>
      </x:c>
      <x:c r="C189" t="n">
        <x:v>2020</x:v>
      </x:c>
      <x:c r="D189" s="12" t="n">
        <x:v>45.16</x:v>
      </x:c>
      <x:c r="E189" s="12" t="n">
        <x:v>-13.43</x:v>
      </x:c>
      <x:c r="F189" s="12" t="n">
        <x:v>0.91</x:v>
      </x:c>
      <x:c r="G189" t="str">
        <x:v>mixed - markdown primary, PDF filled gaps</x:v>
      </x:c>
    </x:row>
    <x:row r="190">
      <x:c r="A190" t="str">
        <x:v>Payar</x:v>
      </x:c>
      <x:c r="B190" t="str">
        <x:v>Kedah</x:v>
      </x:c>
      <x:c r="C190" t="n">
        <x:v>2020</x:v>
      </x:c>
      <x:c r="D190" s="12" t="n">
        <x:v>60.48</x:v>
      </x:c>
      <x:c r="E190" s="12" t="n">
        <x:v>9.6</x:v>
      </x:c>
      <x:c r="F190" s="12" t="n">
        <x:v>3.42</x:v>
      </x:c>
      <x:c r="G190" t="str">
        <x:v>mixed - markdown primary, PDF filled gaps</x:v>
      </x:c>
    </x:row>
    <x:row r="191">
      <x:c r="A191" t="str">
        <x:v>Tioman</x:v>
      </x:c>
      <x:c r="B191" t="str">
        <x:v>Pahang</x:v>
      </x:c>
      <x:c r="C191" t="n">
        <x:v>2020</x:v>
      </x:c>
      <x:c r="D191" s="12" t="n">
        <x:v>63.67</x:v>
      </x:c>
      <x:c r="E191" s="12" t="n">
        <x:v>-0.15</x:v>
      </x:c>
      <x:c r="F191" s="12" t="n">
        <x:v>0.91</x:v>
      </x:c>
      <x:c r="G191" t="str">
        <x:v>mixed - markdown primary, PDF filled gaps</x:v>
      </x:c>
    </x:row>
    <x:row r="192">
      <x:c r="A192" t="str">
        <x:v>Pangkor Laut</x:v>
      </x:c>
      <x:c r="B192" t="str">
        <x:v>Perak</x:v>
      </x:c>
      <x:c r="C192" t="n">
        <x:v>2020</x:v>
      </x:c>
      <x:c r="D192" s="12" t="n">
        <x:v>60.62</x:v>
      </x:c>
      <x:c r="E192" s="12" t="n">
        <x:v>6.87</x:v>
      </x:c>
      <x:c r="F192" s="12" t="n">
        <x:v>3.42</x:v>
      </x:c>
      <x:c r="G192" t="str">
        <x:v>mixed - markdown primary, PDF filled gaps</x:v>
      </x:c>
    </x:row>
    <x:row r="193">
      <x:c r="A193" t="str">
        <x:v>Sembilan</x:v>
      </x:c>
      <x:c r="B193" t="str">
        <x:v>Perak</x:v>
      </x:c>
      <x:c r="C193" t="n">
        <x:v>2020</x:v>
      </x:c>
      <x:c r="D193" s="12" t="n">
        <x:v>28.33</x:v>
      </x:c>
      <x:c r="E193" s="12" t="n">
        <x:v>1.46</x:v>
      </x:c>
      <x:c r="F193" s="12" t="n">
        <x:v>3.42</x:v>
      </x:c>
      <x:c r="G193" t="str">
        <x:v>mixed - markdown primary, PDF filled gaps</x:v>
      </x:c>
    </x:row>
    <x:row r="194">
      <x:c r="A194" t="str">
        <x:v>Kapalai</x:v>
      </x:c>
      <x:c r="B194" t="str">
        <x:v>Sabah</x:v>
      </x:c>
      <x:c r="C194" t="n">
        <x:v>2020</x:v>
      </x:c>
      <x:c r="D194" s="12" t="n">
        <x:v>17.19</x:v>
      </x:c>
      <x:c r="E194" s="12" t="n">
        <x:v>2.51</x:v>
      </x:c>
      <x:c r="F194" s="12" t="n">
        <x:v>7.87</x:v>
      </x:c>
      <x:c r="G194" t="str">
        <x:v>mixed - markdown primary, PDF filled gaps</x:v>
      </x:c>
    </x:row>
    <x:row r="195">
      <x:c r="A195" t="str">
        <x:v>Lahad Datu</x:v>
      </x:c>
      <x:c r="B195" t="str">
        <x:v>Sabah</x:v>
      </x:c>
      <x:c r="C195" t="n">
        <x:v>2020</x:v>
      </x:c>
      <x:c r="D195" s="12" t="n">
        <x:v>29.12</x:v>
      </x:c>
      <x:c r="E195" s="12" t="n">
        <x:v>3.87</x:v>
      </x:c>
      <x:c r="F195" s="12" t="n">
        <x:v>7.87</x:v>
      </x:c>
      <x:c r="G195" t="str">
        <x:v>mixed - markdown primary, PDF filled gaps</x:v>
      </x:c>
    </x:row>
    <x:row r="196">
      <x:c r="A196" t="str">
        <x:v>Lankayan</x:v>
      </x:c>
      <x:c r="B196" t="str">
        <x:v>Sabah</x:v>
      </x:c>
      <x:c r="C196" t="n">
        <x:v>2020</x:v>
      </x:c>
      <x:c r="D196" s="12" t="n">
        <x:v>46.55</x:v>
      </x:c>
      <x:c r="E196" s="12" t="n">
        <x:v>10.67</x:v>
      </x:c>
      <x:c r="F196" s="12" t="n">
        <x:v>7.87</x:v>
      </x:c>
      <x:c r="G196" t="str">
        <x:v>mixed - markdown primary, PDF filled gaps</x:v>
      </x:c>
    </x:row>
    <x:row r="197">
      <x:c r="A197" t="str">
        <x:v>Mabul</x:v>
      </x:c>
      <x:c r="B197" t="str">
        <x:v>Sabah</x:v>
      </x:c>
      <x:c r="C197" t="n">
        <x:v>2020</x:v>
      </x:c>
      <x:c r="D197" s="12" t="n">
        <x:v>21.87</x:v>
      </x:c>
      <x:c r="E197" s="12" t="n">
        <x:v>-5.84</x:v>
      </x:c>
      <x:c r="F197" s="12" t="n">
        <x:v>7.87</x:v>
      </x:c>
      <x:c r="G197" t="str">
        <x:v>mixed - markdown primary, PDF filled gaps</x:v>
      </x:c>
    </x:row>
    <x:row r="198">
      <x:c r="A198" t="str">
        <x:v>Mantanani</x:v>
      </x:c>
      <x:c r="B198" t="str">
        <x:v>Sabah</x:v>
      </x:c>
      <x:c r="C198" t="n">
        <x:v>2020</x:v>
      </x:c>
      <x:c r="D198" s="12" t="n">
        <x:v>34.43</x:v>
      </x:c>
      <x:c r="E198" s="12" t="n">
        <x:v>-4.47</x:v>
      </x:c>
      <x:c r="F198" s="12" t="n">
        <x:v>7.87</x:v>
      </x:c>
      <x:c r="G198" t="str">
        <x:v>mixed - markdown primary, PDF filled gaps</x:v>
      </x:c>
    </x:row>
    <x:row r="199">
      <x:c r="A199" t="str">
        <x:v>Penyu</x:v>
      </x:c>
      <x:c r="B199" t="str">
        <x:v>Sabah</x:v>
      </x:c>
      <x:c r="C199" t="n">
        <x:v>2020</x:v>
      </x:c>
      <x:c r="D199" s="12" t="n">
        <x:v>44.44</x:v>
      </x:c>
      <x:c r="E199" s="12" t="n">
        <x:v>-0.66</x:v>
      </x:c>
      <x:c r="F199" s="12" t="n">
        <x:v>7.87</x:v>
      </x:c>
      <x:c r="G199" t="str">
        <x:v>mixed - markdown primary, PDF filled gaps</x:v>
      </x:c>
    </x:row>
    <x:row r="200">
      <x:c r="A200" t="str">
        <x:v>Sipadan</x:v>
      </x:c>
      <x:c r="B200" t="str">
        <x:v>Sabah</x:v>
      </x:c>
      <x:c r="C200" t="n">
        <x:v>2020</x:v>
      </x:c>
      <x:c r="D200" s="12" t="n">
        <x:v>40.06</x:v>
      </x:c>
      <x:c r="E200" s="12" t="n">
        <x:v>-1.715</x:v>
      </x:c>
      <x:c r="F200" s="12" t="n">
        <x:v>7.87</x:v>
      </x:c>
      <x:c r="G200" t="str">
        <x:v>mixed - markdown primary, PDF filled gaps</x:v>
      </x:c>
    </x:row>
    <x:row r="201">
      <x:c r="A201" t="str">
        <x:v>Tiga</x:v>
      </x:c>
      <x:c r="B201" t="str">
        <x:v>Sabah</x:v>
      </x:c>
      <x:c r="C201" t="n">
        <x:v>2020</x:v>
      </x:c>
      <x:c r="D201" s="12" t="n">
        <x:v>28.92</x:v>
      </x:c>
      <x:c r="E201" s="12" t="n">
        <x:v>-2.237</x:v>
      </x:c>
      <x:c r="F201" s="12" t="n">
        <x:v>7.87</x:v>
      </x:c>
      <x:c r="G201" t="str">
        <x:v>mixed - markdown primary, PDF filled gaps</x:v>
      </x:c>
    </x:row>
    <x:row r="202">
      <x:c r="A202" t="str">
        <x:v>Tun Sakaran Marine Park</x:v>
      </x:c>
      <x:c r="B202" t="str">
        <x:v>Sabah</x:v>
      </x:c>
      <x:c r="C202" t="n">
        <x:v>2020</x:v>
      </x:c>
      <x:c r="D202" s="12" t="n">
        <x:v>33.33</x:v>
      </x:c>
      <x:c r="E202" s="12" t="n">
        <x:v>-10.525</x:v>
      </x:c>
      <x:c r="F202" s="12" t="n">
        <x:v>7.87</x:v>
      </x:c>
      <x:c r="G202" t="str">
        <x:v>mixed - markdown primary, PDF filled gaps</x:v>
      </x:c>
    </x:row>
    <x:row r="203">
      <x:c r="A203" t="str">
        <x:v>Tunku Abdul Rahman Park</x:v>
      </x:c>
      <x:c r="B203" t="str">
        <x:v>Sabah</x:v>
      </x:c>
      <x:c r="C203" t="n">
        <x:v>2020</x:v>
      </x:c>
      <x:c r="D203" s="12" t="n">
        <x:v>46.71</x:v>
      </x:c>
      <x:c r="E203" s="12" t="n">
        <x:v>2.967</x:v>
      </x:c>
      <x:c r="F203" s="12" t="n">
        <x:v>7.87</x:v>
      </x:c>
      <x:c r="G203" t="str">
        <x:v>mixed - markdown primary, PDF filled gaps</x:v>
      </x:c>
    </x:row>
    <x:row r="204">
      <x:c r="A204" t="str">
        <x:v>Usukan Cove</x:v>
      </x:c>
      <x:c r="B204" t="str">
        <x:v>Sabah</x:v>
      </x:c>
      <x:c r="C204" t="n">
        <x:v>2020</x:v>
      </x:c>
      <x:c r="D204" s="12" t="n">
        <x:v>34.99</x:v>
      </x:c>
      <x:c r="E204" s="12" t="n">
        <x:v>-18.03</x:v>
      </x:c>
      <x:c r="F204" s="12" t="n">
        <x:v>7.87</x:v>
      </x:c>
      <x:c r="G204" t="str">
        <x:v>mixed - markdown primary, PDF filled gaps</x:v>
      </x:c>
    </x:row>
    <x:row r="205">
      <x:c r="A205" t="str">
        <x:v>Bidong &amp; Yu</x:v>
      </x:c>
      <x:c r="B205" t="str">
        <x:v>Terengganu</x:v>
      </x:c>
      <x:c r="C205" t="n">
        <x:v>2020</x:v>
      </x:c>
      <x:c r="D205" s="12" t="n">
        <x:v>46.65</x:v>
      </x:c>
      <x:c r="E205" s="12" t="n">
        <x:v>2.06</x:v>
      </x:c>
      <x:c r="F205" s="12" t="n">
        <x:v>5.33</x:v>
      </x:c>
      <x:c r="G205" t="str">
        <x:v>mixed - markdown primary, PDF filled gaps</x:v>
      </x:c>
    </x:row>
    <x:row r="206">
      <x:c r="A206" t="str">
        <x:v>Kapas</x:v>
      </x:c>
      <x:c r="B206" t="str">
        <x:v>Terengganu</x:v>
      </x:c>
      <x:c r="C206" t="n">
        <x:v>2020</x:v>
      </x:c>
      <x:c r="D206" s="12" t="n">
        <x:v>44.5</x:v>
      </x:c>
      <x:c r="E206" s="12" t="n">
        <x:v>-2.88</x:v>
      </x:c>
      <x:c r="F206" s="12" t="n">
        <x:v>5.33</x:v>
      </x:c>
      <x:c r="G206" t="str">
        <x:v>mixed - markdown primary, PDF filled gaps</x:v>
      </x:c>
    </x:row>
    <x:row r="207">
      <x:c r="A207" t="str">
        <x:v>Perhentian</x:v>
      </x:c>
      <x:c r="B207" t="str">
        <x:v>Terengganu</x:v>
      </x:c>
      <x:c r="C207" t="n">
        <x:v>2020</x:v>
      </x:c>
      <x:c r="D207" s="12" t="n">
        <x:v>38.11</x:v>
      </x:c>
      <x:c r="E207" s="12" t="n">
        <x:v>2.61</x:v>
      </x:c>
      <x:c r="F207" s="12" t="n">
        <x:v>5.33</x:v>
      </x:c>
      <x:c r="G207" t="str">
        <x:v>mixed - markdown primary, PDF filled gaps</x:v>
      </x:c>
    </x:row>
    <x:row r="208">
      <x:c r="A208" t="str">
        <x:v>Redang</x:v>
      </x:c>
      <x:c r="B208" t="str">
        <x:v>Terengganu</x:v>
      </x:c>
      <x:c r="C208" t="n">
        <x:v>2020</x:v>
      </x:c>
      <x:c r="D208" s="12" t="n">
        <x:v>35.46</x:v>
      </x:c>
      <x:c r="E208" s="12" t="n">
        <x:v>6.97</x:v>
      </x:c>
      <x:c r="F208" s="12" t="n">
        <x:v>5.33</x:v>
      </x:c>
      <x:c r="G208" t="str">
        <x:v>mixed - markdown primary, PDF filled gaps</x:v>
      </x:c>
    </x:row>
    <x:row r="209">
      <x:c r="A209" t="str">
        <x:v>Tenggol</x:v>
      </x:c>
      <x:c r="B209" t="str">
        <x:v>Terengganu</x:v>
      </x:c>
      <x:c r="C209" t="n">
        <x:v>2020</x:v>
      </x:c>
      <x:c r="D209" s="12" t="n">
        <x:v>52.4</x:v>
      </x:c>
      <x:c r="E209" s="12" t="n">
        <x:v>5.21</x:v>
      </x:c>
      <x:c r="F209" s="12" t="n">
        <x:v>5.33</x:v>
      </x:c>
      <x:c r="G209" t="str">
        <x:v>mixed - markdown primary, PDF filled gaps</x:v>
      </x:c>
    </x:row>
    <x:row r="210">
      <x:c r="A210" t="str">
        <x:v>Aur &amp; Dayang</x:v>
      </x:c>
      <x:c r="B210" t="str">
        <x:v>Johor</x:v>
      </x:c>
      <x:c r="C210" t="n">
        <x:v>2021</x:v>
      </x:c>
      <x:c r="D210" s="12" t="n">
        <x:v>38.65</x:v>
      </x:c>
      <x:c r="E210" s="12" t="n">
        <x:v>2.07</x:v>
      </x:c>
      <x:c r="F210" s="12" t="n">
        <x:v>0.16</x:v>
      </x:c>
      <x:c r="G210" t="str">
        <x:v>mixed - markdown primary, PDF filled gaps</x:v>
      </x:c>
    </x:row>
    <x:row r="211">
      <x:c r="A211" t="str">
        <x:v>Besar</x:v>
      </x:c>
      <x:c r="B211" t="str">
        <x:v>Johor</x:v>
      </x:c>
      <x:c r="C211" t="n">
        <x:v>2021</x:v>
      </x:c>
      <x:c r="D211" s="12" t="n">
        <x:v>39.81</x:v>
      </x:c>
      <x:c r="E211" s="12" t="n">
        <x:v>4.64</x:v>
      </x:c>
      <x:c r="F211" s="12" t="n">
        <x:v>0.16</x:v>
      </x:c>
      <x:c r="G211" t="str">
        <x:v>mixed - markdown primary, PDF filled gaps</x:v>
      </x:c>
    </x:row>
    <x:row r="212">
      <x:c r="A212" t="str">
        <x:v>Lima</x:v>
      </x:c>
      <x:c r="B212" t="str">
        <x:v>Johor</x:v>
      </x:c>
      <x:c r="C212" t="n">
        <x:v>2021</x:v>
      </x:c>
      <x:c r="D212" s="12" t="n">
        <x:v>49.38</x:v>
      </x:c>
      <x:c r="E212" s="12"/>
      <x:c r="F212" s="12" t="n">
        <x:v>0.16</x:v>
      </x:c>
      <x:c r="G212" t="str">
        <x:v>mixed - markdown primary, PDF filled gaps</x:v>
      </x:c>
    </x:row>
    <x:row r="213">
      <x:c r="A213" t="str">
        <x:v>Pemanggil</x:v>
      </x:c>
      <x:c r="B213" t="str">
        <x:v>Johor</x:v>
      </x:c>
      <x:c r="C213" t="n">
        <x:v>2021</x:v>
      </x:c>
      <x:c r="D213" s="12" t="n">
        <x:v>43.91</x:v>
      </x:c>
      <x:c r="E213" s="12" t="n">
        <x:v>-5.94</x:v>
      </x:c>
      <x:c r="F213" s="12" t="n">
        <x:v>0.16</x:v>
      </x:c>
      <x:c r="G213" t="str">
        <x:v>mixed - markdown primary, PDF filled gaps</x:v>
      </x:c>
    </x:row>
    <x:row r="214">
      <x:c r="A214" t="str">
        <x:v>Sibu</x:v>
      </x:c>
      <x:c r="B214" t="str">
        <x:v>Johor</x:v>
      </x:c>
      <x:c r="C214" t="n">
        <x:v>2021</x:v>
      </x:c>
      <x:c r="D214" s="12" t="n">
        <x:v>45.93</x:v>
      </x:c>
      <x:c r="E214" s="12" t="n">
        <x:v>-13.44</x:v>
      </x:c>
      <x:c r="F214" s="12" t="n">
        <x:v>0.16</x:v>
      </x:c>
      <x:c r="G214" t="str">
        <x:v>mixed - markdown primary, PDF filled gaps</x:v>
      </x:c>
    </x:row>
    <x:row r="215">
      <x:c r="A215" t="str">
        <x:v>Tinggi</x:v>
      </x:c>
      <x:c r="B215" t="str">
        <x:v>Johor</x:v>
      </x:c>
      <x:c r="C215" t="n">
        <x:v>2021</x:v>
      </x:c>
      <x:c r="D215" s="12" t="n">
        <x:v>48.13</x:v>
      </x:c>
      <x:c r="E215" s="12" t="n">
        <x:v>2.97</x:v>
      </x:c>
      <x:c r="F215" s="12" t="n">
        <x:v>0.16</x:v>
      </x:c>
      <x:c r="G215" t="str">
        <x:v>mixed - markdown primary, PDF filled gaps</x:v>
      </x:c>
    </x:row>
    <x:row r="216">
      <x:c r="A216" t="str">
        <x:v>Payar</x:v>
      </x:c>
      <x:c r="B216" t="str">
        <x:v>Kedah</x:v>
      </x:c>
      <x:c r="C216" t="n">
        <x:v>2021</x:v>
      </x:c>
      <x:c r="D216" s="12" t="n">
        <x:v>44.88</x:v>
      </x:c>
      <x:c r="E216" s="12" t="n">
        <x:v>-15.6</x:v>
      </x:c>
      <x:c r="F216" s="12" t="n">
        <x:v>1.56</x:v>
      </x:c>
      <x:c r="G216" t="str">
        <x:v>mixed - markdown primary, PDF filled gaps</x:v>
      </x:c>
    </x:row>
    <x:row r="217">
      <x:c r="A217" t="str">
        <x:v>Malacca</x:v>
      </x:c>
      <x:c r="B217" t="str">
        <x:v>Malacca</x:v>
      </x:c>
      <x:c r="C217" t="n">
        <x:v>2021</x:v>
      </x:c>
      <x:c r="D217" s="12" t="n">
        <x:v>35.61</x:v>
      </x:c>
      <x:c r="E217" s="12"/>
      <x:c r="F217" s="12" t="n">
        <x:v>1.58</x:v>
      </x:c>
      <x:c r="G217" t="str">
        <x:v>mixed - markdown primary, PDF filled gaps</x:v>
      </x:c>
    </x:row>
    <x:row r="218">
      <x:c r="A218" t="str">
        <x:v>Port Dickson</x:v>
      </x:c>
      <x:c r="B218" t="str">
        <x:v>Negeri Sembilan</x:v>
      </x:c>
      <x:c r="C218" t="n">
        <x:v>2021</x:v>
      </x:c>
      <x:c r="D218" s="12" t="n">
        <x:v>50.95</x:v>
      </x:c>
      <x:c r="E218" s="12"/>
      <x:c r="F218" s="12" t="n">
        <x:v>1.58</x:v>
      </x:c>
      <x:c r="G218" t="str">
        <x:v>mixed - markdown primary, PDF filled gaps</x:v>
      </x:c>
    </x:row>
    <x:row r="219">
      <x:c r="A219" t="str">
        <x:v>Tioman</x:v>
      </x:c>
      <x:c r="B219" t="str">
        <x:v>Pahang</x:v>
      </x:c>
      <x:c r="C219" t="n">
        <x:v>2021</x:v>
      </x:c>
      <x:c r="D219" s="12" t="n">
        <x:v>60.59</x:v>
      </x:c>
      <x:c r="E219" s="12" t="n">
        <x:v>-3.08</x:v>
      </x:c>
      <x:c r="F219" s="12" t="n">
        <x:v>0.16</x:v>
      </x:c>
      <x:c r="G219" t="str">
        <x:v>mixed - markdown primary, PDF filled gaps</x:v>
      </x:c>
    </x:row>
    <x:row r="220">
      <x:c r="A220" t="str">
        <x:v>Kapalai</x:v>
      </x:c>
      <x:c r="B220" t="str">
        <x:v>Sabah</x:v>
      </x:c>
      <x:c r="C220" t="n">
        <x:v>2021</x:v>
      </x:c>
      <x:c r="D220" s="12" t="n">
        <x:v>18.23</x:v>
      </x:c>
      <x:c r="E220" s="12" t="n">
        <x:v>1.04</x:v>
      </x:c>
      <x:c r="F220" s="12" t="n">
        <x:v>2.18</x:v>
      </x:c>
      <x:c r="G220" t="str">
        <x:v>mixed - markdown primary, PDF filled gaps</x:v>
      </x:c>
    </x:row>
    <x:row r="221">
      <x:c r="A221" t="str">
        <x:v>Lahad Datu</x:v>
      </x:c>
      <x:c r="B221" t="str">
        <x:v>Sabah</x:v>
      </x:c>
      <x:c r="C221" t="n">
        <x:v>2021</x:v>
      </x:c>
      <x:c r="D221" s="12" t="n">
        <x:v>32.66</x:v>
      </x:c>
      <x:c r="E221" s="12" t="n">
        <x:v>3.54</x:v>
      </x:c>
      <x:c r="F221" s="12" t="n">
        <x:v>2.18</x:v>
      </x:c>
      <x:c r="G221" t="str">
        <x:v>mixed - markdown primary, PDF filled gaps</x:v>
      </x:c>
    </x:row>
    <x:row r="222">
      <x:c r="A222" t="str">
        <x:v>Lankayan</x:v>
      </x:c>
      <x:c r="B222" t="str">
        <x:v>Sabah</x:v>
      </x:c>
      <x:c r="C222" t="n">
        <x:v>2021</x:v>
      </x:c>
      <x:c r="D222" s="12" t="n">
        <x:v>39.15</x:v>
      </x:c>
      <x:c r="E222" s="12" t="n">
        <x:v>-7.4</x:v>
      </x:c>
      <x:c r="F222" s="12" t="n">
        <x:v>2.18</x:v>
      </x:c>
      <x:c r="G222" t="str">
        <x:v>mixed - markdown primary, PDF filled gaps</x:v>
      </x:c>
    </x:row>
    <x:row r="223">
      <x:c r="A223" t="str">
        <x:v>Larapan</x:v>
      </x:c>
      <x:c r="B223" t="str">
        <x:v>Sabah</x:v>
      </x:c>
      <x:c r="C223" t="n">
        <x:v>2021</x:v>
      </x:c>
      <x:c r="D223" s="12" t="n">
        <x:v>67.08</x:v>
      </x:c>
      <x:c r="E223" s="12"/>
      <x:c r="F223" s="12" t="n">
        <x:v>2.18</x:v>
      </x:c>
      <x:c r="G223" t="str">
        <x:v>mixed - markdown primary, PDF filled gaps</x:v>
      </x:c>
    </x:row>
    <x:row r="224">
      <x:c r="A224" t="str">
        <x:v>Mabul</x:v>
      </x:c>
      <x:c r="B224" t="str">
        <x:v>Sabah</x:v>
      </x:c>
      <x:c r="C224" t="n">
        <x:v>2021</x:v>
      </x:c>
      <x:c r="D224" s="12" t="n">
        <x:v>27.8</x:v>
      </x:c>
      <x:c r="E224" s="12" t="n">
        <x:v>5.93</x:v>
      </x:c>
      <x:c r="F224" s="12" t="n">
        <x:v>2.18</x:v>
      </x:c>
      <x:c r="G224" t="str">
        <x:v>mixed - markdown primary, PDF filled gaps</x:v>
      </x:c>
    </x:row>
    <x:row r="225">
      <x:c r="A225" t="str">
        <x:v>Mantanani</x:v>
      </x:c>
      <x:c r="B225" t="str">
        <x:v>Sabah</x:v>
      </x:c>
      <x:c r="C225" t="n">
        <x:v>2021</x:v>
      </x:c>
      <x:c r="D225" s="12" t="n">
        <x:v>37.81</x:v>
      </x:c>
      <x:c r="E225" s="12" t="n">
        <x:v>3.38</x:v>
      </x:c>
      <x:c r="F225" s="12" t="n">
        <x:v>2.18</x:v>
      </x:c>
      <x:c r="G225" t="str">
        <x:v>mixed - markdown primary, PDF filled gaps</x:v>
      </x:c>
    </x:row>
    <x:row r="226">
      <x:c r="A226" t="str">
        <x:v>Mataking</x:v>
      </x:c>
      <x:c r="B226" t="str">
        <x:v>Sabah</x:v>
      </x:c>
      <x:c r="C226" t="n">
        <x:v>2021</x:v>
      </x:c>
      <x:c r="D226" s="12" t="n">
        <x:v>21.37</x:v>
      </x:c>
      <x:c r="E226" s="12" t="n">
        <x:v>-5.93</x:v>
      </x:c>
      <x:c r="F226" s="12" t="n">
        <x:v>2.18</x:v>
      </x:c>
      <x:c r="G226" t="str">
        <x:v>mixed - markdown primary, PDF filled gaps</x:v>
      </x:c>
    </x:row>
    <x:row r="227">
      <x:c r="A227" t="str">
        <x:v>Penyu</x:v>
      </x:c>
      <x:c r="B227" t="str">
        <x:v>Sabah</x:v>
      </x:c>
      <x:c r="C227" t="n">
        <x:v>2021</x:v>
      </x:c>
      <x:c r="D227" s="12" t="n">
        <x:v>46.69</x:v>
      </x:c>
      <x:c r="E227" s="12" t="n">
        <x:v>2.25</x:v>
      </x:c>
      <x:c r="F227" s="12" t="n">
        <x:v>2.18</x:v>
      </x:c>
      <x:c r="G227" t="str">
        <x:v>mixed - markdown primary, PDF filled gaps</x:v>
      </x:c>
    </x:row>
    <x:row r="228">
      <x:c r="A228" t="str">
        <x:v>Sipadan</x:v>
      </x:c>
      <x:c r="B228" t="str">
        <x:v>Sabah</x:v>
      </x:c>
      <x:c r="C228" t="n">
        <x:v>2021</x:v>
      </x:c>
      <x:c r="D228" s="12" t="n">
        <x:v>54.48</x:v>
      </x:c>
      <x:c r="E228" s="12" t="n">
        <x:v>14.42</x:v>
      </x:c>
      <x:c r="F228" s="12" t="n">
        <x:v>2.18</x:v>
      </x:c>
      <x:c r="G228" t="str">
        <x:v>mixed - markdown primary, PDF filled gaps</x:v>
      </x:c>
    </x:row>
    <x:row r="229">
      <x:c r="A229" t="str">
        <x:v>Tiga</x:v>
      </x:c>
      <x:c r="B229" t="str">
        <x:v>Sabah</x:v>
      </x:c>
      <x:c r="C229" t="n">
        <x:v>2021</x:v>
      </x:c>
      <x:c r="D229" s="12" t="n">
        <x:v>43.58</x:v>
      </x:c>
      <x:c r="E229" s="12" t="n">
        <x:v>14.66</x:v>
      </x:c>
      <x:c r="F229" s="12" t="n">
        <x:v>2.18</x:v>
      </x:c>
      <x:c r="G229" t="str">
        <x:v>mixed - markdown primary, PDF filled gaps</x:v>
      </x:c>
    </x:row>
    <x:row r="230">
      <x:c r="A230" t="str">
        <x:v>Tun Sakaran Marine Park</x:v>
      </x:c>
      <x:c r="B230" t="str">
        <x:v>Sabah</x:v>
      </x:c>
      <x:c r="C230" t="n">
        <x:v>2021</x:v>
      </x:c>
      <x:c r="D230" s="12" t="n">
        <x:v>36.05</x:v>
      </x:c>
      <x:c r="E230" s="12" t="n">
        <x:v>2.72</x:v>
      </x:c>
      <x:c r="F230" s="12" t="n">
        <x:v>2.18</x:v>
      </x:c>
      <x:c r="G230" t="str">
        <x:v>mixed - markdown primary, PDF filled gaps</x:v>
      </x:c>
    </x:row>
    <x:row r="231">
      <x:c r="A231" t="str">
        <x:v>Tunku Abdul Rahman Park</x:v>
      </x:c>
      <x:c r="B231" t="str">
        <x:v>Sabah</x:v>
      </x:c>
      <x:c r="C231" t="n">
        <x:v>2021</x:v>
      </x:c>
      <x:c r="D231" s="12" t="n">
        <x:v>48.35</x:v>
      </x:c>
      <x:c r="E231" s="12" t="n">
        <x:v>1.64</x:v>
      </x:c>
      <x:c r="F231" s="12" t="n">
        <x:v>2.18</x:v>
      </x:c>
      <x:c r="G231" t="str">
        <x:v>mixed - markdown primary, PDF filled gaps</x:v>
      </x:c>
    </x:row>
    <x:row r="232">
      <x:c r="A232" t="str">
        <x:v>Usukan Cove</x:v>
      </x:c>
      <x:c r="B232" t="str">
        <x:v>Sabah</x:v>
      </x:c>
      <x:c r="C232" t="n">
        <x:v>2021</x:v>
      </x:c>
      <x:c r="D232" s="12" t="n">
        <x:v>35.83</x:v>
      </x:c>
      <x:c r="E232" s="12" t="n">
        <x:v>0.84</x:v>
      </x:c>
      <x:c r="F232" s="12" t="n">
        <x:v>2.18</x:v>
      </x:c>
      <x:c r="G232" t="str">
        <x:v>mixed - markdown primary, PDF filled gaps</x:v>
      </x:c>
    </x:row>
    <x:row r="233">
      <x:c r="A233" t="str">
        <x:v>Bidong &amp; Yu</x:v>
      </x:c>
      <x:c r="B233" t="str">
        <x:v>Terengganu</x:v>
      </x:c>
      <x:c r="C233" t="n">
        <x:v>2021</x:v>
      </x:c>
      <x:c r="D233" s="12" t="n">
        <x:v>55.52</x:v>
      </x:c>
      <x:c r="E233" s="12" t="n">
        <x:v>8.87</x:v>
      </x:c>
      <x:c r="F233" s="12" t="n">
        <x:v>1.58</x:v>
      </x:c>
      <x:c r="G233" t="str">
        <x:v>mixed - markdown primary, PDF filled gaps</x:v>
      </x:c>
    </x:row>
    <x:row r="234">
      <x:c r="A234" t="str">
        <x:v>Kapas</x:v>
      </x:c>
      <x:c r="B234" t="str">
        <x:v>Terengganu</x:v>
      </x:c>
      <x:c r="C234" t="n">
        <x:v>2021</x:v>
      </x:c>
      <x:c r="D234" s="12" t="n">
        <x:v>43.39</x:v>
      </x:c>
      <x:c r="E234" s="12" t="n">
        <x:v>-1.11</x:v>
      </x:c>
      <x:c r="F234" s="12" t="n">
        <x:v>1.58</x:v>
      </x:c>
      <x:c r="G234" t="str">
        <x:v>mixed - markdown primary, PDF filled gaps</x:v>
      </x:c>
    </x:row>
    <x:row r="235">
      <x:c r="A235" t="str">
        <x:v>Perhentian</x:v>
      </x:c>
      <x:c r="B235" t="str">
        <x:v>Terengganu</x:v>
      </x:c>
      <x:c r="C235" t="n">
        <x:v>2021</x:v>
      </x:c>
      <x:c r="D235" s="12" t="n">
        <x:v>42.43</x:v>
      </x:c>
      <x:c r="E235" s="12" t="n">
        <x:v>4.32</x:v>
      </x:c>
      <x:c r="F235" s="12" t="n">
        <x:v>1.58</x:v>
      </x:c>
      <x:c r="G235" t="str">
        <x:v>mixed - markdown primary, PDF filled gaps</x:v>
      </x:c>
    </x:row>
    <x:row r="236">
      <x:c r="A236" t="str">
        <x:v>Redang</x:v>
      </x:c>
      <x:c r="B236" t="str">
        <x:v>Terengganu</x:v>
      </x:c>
      <x:c r="C236" t="n">
        <x:v>2021</x:v>
      </x:c>
      <x:c r="D236" s="12" t="n">
        <x:v>55.82</x:v>
      </x:c>
      <x:c r="E236" s="12" t="n">
        <x:v>20.36</x:v>
      </x:c>
      <x:c r="F236" s="12" t="n">
        <x:v>1.58</x:v>
      </x:c>
      <x:c r="G236" t="str">
        <x:v>mixed - markdown primary, PDF filled gaps</x:v>
      </x:c>
    </x:row>
    <x:row r="237">
      <x:c r="A237" t="str">
        <x:v>Tenggol</x:v>
      </x:c>
      <x:c r="B237" t="str">
        <x:v>Terengganu</x:v>
      </x:c>
      <x:c r="C237" t="n">
        <x:v>2021</x:v>
      </x:c>
      <x:c r="D237" s="12" t="n">
        <x:v>57.8</x:v>
      </x:c>
      <x:c r="E237" s="12" t="n">
        <x:v>5.4</x:v>
      </x:c>
      <x:c r="F237" s="12" t="n">
        <x:v>1.58</x:v>
      </x:c>
      <x:c r="G237" t="str">
        <x:v>mixed - markdown primary, PDF filled gaps</x:v>
      </x:c>
    </x:row>
    <x:row r="238">
      <x:c r="A238" t="str">
        <x:v>Aur &amp; Dayang</x:v>
      </x:c>
      <x:c r="B238" t="str">
        <x:v>Johor</x:v>
      </x:c>
      <x:c r="C238" t="n">
        <x:v>2022</x:v>
      </x:c>
      <x:c r="D238" s="12" t="n">
        <x:v>39.17</x:v>
      </x:c>
      <x:c r="E238" s="12" t="n">
        <x:v>0.52</x:v>
      </x:c>
      <x:c r="F238" s="12" t="n">
        <x:v>0.33</x:v>
      </x:c>
      <x:c r="G238" t="str">
        <x:v>mixed - markdown primary, PDF filled gaps</x:v>
      </x:c>
    </x:row>
    <x:row r="239">
      <x:c r="A239" t="str">
        <x:v>Besar</x:v>
      </x:c>
      <x:c r="B239" t="str">
        <x:v>Johor</x:v>
      </x:c>
      <x:c r="C239" t="n">
        <x:v>2022</x:v>
      </x:c>
      <x:c r="D239" s="12" t="n">
        <x:v>48.39</x:v>
      </x:c>
      <x:c r="E239" s="12" t="n">
        <x:v>8.58</x:v>
      </x:c>
      <x:c r="F239" s="12" t="n">
        <x:v>0.33</x:v>
      </x:c>
      <x:c r="G239" t="str">
        <x:v>markdown only</x:v>
      </x:c>
    </x:row>
    <x:row r="240">
      <x:c r="A240" t="str">
        <x:v>Gual</x:v>
      </x:c>
      <x:c r="B240" t="str">
        <x:v>Johor</x:v>
      </x:c>
      <x:c r="C240" t="n">
        <x:v>2022</x:v>
      </x:c>
      <x:c r="D240" s="12" t="n">
        <x:v>56.94</x:v>
      </x:c>
      <x:c r="E240" s="12"/>
      <x:c r="F240" s="12" t="n">
        <x:v>0.33</x:v>
      </x:c>
      <x:c r="G240" t="str">
        <x:v>markdown only</x:v>
      </x:c>
    </x:row>
    <x:row r="241">
      <x:c r="A241" t="str">
        <x:v>Harimau</x:v>
      </x:c>
      <x:c r="B241" t="str">
        <x:v>Johor</x:v>
      </x:c>
      <x:c r="C241" t="n">
        <x:v>2022</x:v>
      </x:c>
      <x:c r="D241" s="12" t="n">
        <x:v>52.59</x:v>
      </x:c>
      <x:c r="E241" s="12"/>
      <x:c r="F241" s="12" t="n">
        <x:v>0.33</x:v>
      </x:c>
      <x:c r="G241" t="str">
        <x:v>markdown only</x:v>
      </x:c>
    </x:row>
    <x:row r="242">
      <x:c r="A242" t="str">
        <x:v>Hujung</x:v>
      </x:c>
      <x:c r="B242" t="str">
        <x:v>Johor</x:v>
      </x:c>
      <x:c r="C242" t="n">
        <x:v>2022</x:v>
      </x:c>
      <x:c r="D242" s="12" t="n">
        <x:v>53.19</x:v>
      </x:c>
      <x:c r="E242" s="12"/>
      <x:c r="F242" s="12" t="n">
        <x:v>0.33</x:v>
      </x:c>
      <x:c r="G242" t="str">
        <x:v>markdown only</x:v>
      </x:c>
    </x:row>
    <x:row r="243">
      <x:c r="A243" t="str">
        <x:v>Lima</x:v>
      </x:c>
      <x:c r="B243" t="str">
        <x:v>Johor</x:v>
      </x:c>
      <x:c r="C243" t="n">
        <x:v>2022</x:v>
      </x:c>
      <x:c r="D243" s="12" t="n">
        <x:v>51.88</x:v>
      </x:c>
      <x:c r="E243" s="12" t="n">
        <x:v>2.5</x:v>
      </x:c>
      <x:c r="F243" s="12" t="n">
        <x:v>0.33</x:v>
      </x:c>
      <x:c r="G243" t="str">
        <x:v>mixed - markdown primary, PDF filled gaps</x:v>
      </x:c>
    </x:row>
    <x:row r="244">
      <x:c r="A244" t="str">
        <x:v>Mensirip</x:v>
      </x:c>
      <x:c r="B244" t="str">
        <x:v>Johor</x:v>
      </x:c>
      <x:c r="C244" t="n">
        <x:v>2022</x:v>
      </x:c>
      <x:c r="D244" s="12" t="n">
        <x:v>69.2</x:v>
      </x:c>
      <x:c r="E244" s="12"/>
      <x:c r="F244" s="12" t="n">
        <x:v>0.33</x:v>
      </x:c>
      <x:c r="G244" t="str">
        <x:v>markdown only</x:v>
      </x:c>
    </x:row>
    <x:row r="245">
      <x:c r="A245" t="str">
        <x:v>Mertang</x:v>
      </x:c>
      <x:c r="B245" t="str">
        <x:v>Johor</x:v>
      </x:c>
      <x:c r="C245" t="n">
        <x:v>2022</x:v>
      </x:c>
      <x:c r="D245" s="12" t="n">
        <x:v>76.04</x:v>
      </x:c>
      <x:c r="E245" s="12"/>
      <x:c r="F245" s="12" t="n">
        <x:v>0.33</x:v>
      </x:c>
      <x:c r="G245" t="str">
        <x:v>markdown only</x:v>
      </x:c>
    </x:row>
    <x:row r="246">
      <x:c r="A246" t="str">
        <x:v>Pemanggil</x:v>
      </x:c>
      <x:c r="B246" t="str">
        <x:v>Johor</x:v>
      </x:c>
      <x:c r="C246" t="n">
        <x:v>2022</x:v>
      </x:c>
      <x:c r="D246" s="12" t="n">
        <x:v>48.91</x:v>
      </x:c>
      <x:c r="E246" s="12" t="n">
        <x:v>5</x:v>
      </x:c>
      <x:c r="F246" s="12" t="n">
        <x:v>0.33</x:v>
      </x:c>
      <x:c r="G246" t="str">
        <x:v>markdown only</x:v>
      </x:c>
    </x:row>
    <x:row r="247">
      <x:c r="A247" t="str">
        <x:v>Rawa</x:v>
      </x:c>
      <x:c r="B247" t="str">
        <x:v>Johor</x:v>
      </x:c>
      <x:c r="C247" t="n">
        <x:v>2022</x:v>
      </x:c>
      <x:c r="D247" s="12" t="n">
        <x:v>62.35</x:v>
      </x:c>
      <x:c r="E247" s="12" t="n">
        <x:v>-4.093</x:v>
      </x:c>
      <x:c r="F247" s="12" t="n">
        <x:v>0.33</x:v>
      </x:c>
      <x:c r="G247" t="str">
        <x:v>mixed - markdown primary, PDF filled gaps</x:v>
      </x:c>
    </x:row>
    <x:row r="248">
      <x:c r="A248" t="str">
        <x:v>Sibu</x:v>
      </x:c>
      <x:c r="B248" t="str">
        <x:v>Johor</x:v>
      </x:c>
      <x:c r="C248" t="n">
        <x:v>2022</x:v>
      </x:c>
      <x:c r="D248" s="12" t="n">
        <x:v>53.85</x:v>
      </x:c>
      <x:c r="E248" s="12" t="n">
        <x:v>7.92</x:v>
      </x:c>
      <x:c r="F248" s="12" t="n">
        <x:v>0.33</x:v>
      </x:c>
      <x:c r="G248" t="str">
        <x:v>markdown only</x:v>
      </x:c>
    </x:row>
    <x:row r="249">
      <x:c r="A249" t="str">
        <x:v>Tengah</x:v>
      </x:c>
      <x:c r="B249" t="str">
        <x:v>Johor</x:v>
      </x:c>
      <x:c r="C249" t="n">
        <x:v>2022</x:v>
      </x:c>
      <x:c r="D249" s="12" t="n">
        <x:v>53.41</x:v>
      </x:c>
      <x:c r="E249" s="12" t="n">
        <x:v>1.432</x:v>
      </x:c>
      <x:c r="F249" s="12" t="n">
        <x:v>0.33</x:v>
      </x:c>
      <x:c r="G249" t="str">
        <x:v>markdown only</x:v>
      </x:c>
    </x:row>
    <x:row r="250">
      <x:c r="A250" t="str">
        <x:v>Tinggi</x:v>
      </x:c>
      <x:c r="B250" t="str">
        <x:v>Johor</x:v>
      </x:c>
      <x:c r="C250" t="n">
        <x:v>2022</x:v>
      </x:c>
      <x:c r="D250" s="12" t="n">
        <x:v>48.28</x:v>
      </x:c>
      <x:c r="E250" s="12" t="n">
        <x:v>0.15</x:v>
      </x:c>
      <x:c r="F250" s="12" t="n">
        <x:v>0.33</x:v>
      </x:c>
      <x:c r="G250" t="str">
        <x:v>markdown only</x:v>
      </x:c>
    </x:row>
    <x:row r="251">
      <x:c r="A251" t="str">
        <x:v>Payar</x:v>
      </x:c>
      <x:c r="B251" t="str">
        <x:v>Kedah</x:v>
      </x:c>
      <x:c r="C251" t="n">
        <x:v>2022</x:v>
      </x:c>
      <x:c r="D251" s="12" t="n">
        <x:v>57.13</x:v>
      </x:c>
      <x:c r="E251" s="12" t="n">
        <x:v>12.25</x:v>
      </x:c>
      <x:c r="F251" s="12" t="n">
        <x:v>0.15</x:v>
      </x:c>
      <x:c r="G251" t="str">
        <x:v>mixed - markdown primary, PDF filled gaps</x:v>
      </x:c>
    </x:row>
    <x:row r="252">
      <x:c r="A252" t="str">
        <x:v>Singa</x:v>
      </x:c>
      <x:c r="B252" t="str">
        <x:v>Kedah</x:v>
      </x:c>
      <x:c r="C252" t="n">
        <x:v>2022</x:v>
      </x:c>
      <x:c r="D252" s="12" t="n">
        <x:v>67.51</x:v>
      </x:c>
      <x:c r="E252" s="12"/>
      <x:c r="F252" s="12" t="n">
        <x:v>0.15</x:v>
      </x:c>
      <x:c r="G252" t="str">
        <x:v>mixed - markdown primary, PDF filled gaps</x:v>
      </x:c>
    </x:row>
    <x:row r="253">
      <x:c r="A253" t="str">
        <x:v>Malacca</x:v>
      </x:c>
      <x:c r="B253" t="str">
        <x:v>Malacca</x:v>
      </x:c>
      <x:c r="C253" t="n">
        <x:v>2022</x:v>
      </x:c>
      <x:c r="D253" s="12" t="n">
        <x:v>30.12</x:v>
      </x:c>
      <x:c r="E253" s="12" t="n">
        <x:v>-5.49</x:v>
      </x:c>
      <x:c r="F253" s="12" t="n">
        <x:v>1.13</x:v>
      </x:c>
      <x:c r="G253" t="str">
        <x:v>mixed - markdown primary, PDF filled gaps</x:v>
      </x:c>
    </x:row>
    <x:row r="254">
      <x:c r="A254" t="str">
        <x:v>Port Dickson</x:v>
      </x:c>
      <x:c r="B254" t="str">
        <x:v>Negeri Sembilan</x:v>
      </x:c>
      <x:c r="C254" t="n">
        <x:v>2022</x:v>
      </x:c>
      <x:c r="D254" s="12" t="n">
        <x:v>16.57</x:v>
      </x:c>
      <x:c r="E254" s="12" t="n">
        <x:v>-34.38</x:v>
      </x:c>
      <x:c r="F254" s="12" t="n">
        <x:v>1.13</x:v>
      </x:c>
      <x:c r="G254" t="str">
        <x:v>mixed - markdown primary, PDF filled gaps</x:v>
      </x:c>
    </x:row>
    <x:row r="255">
      <x:c r="A255" t="str">
        <x:v>Tioman</x:v>
      </x:c>
      <x:c r="B255" t="str">
        <x:v>Pahang</x:v>
      </x:c>
      <x:c r="C255" t="n">
        <x:v>2022</x:v>
      </x:c>
      <x:c r="D255" s="12" t="n">
        <x:v>63.37</x:v>
      </x:c>
      <x:c r="E255" s="12" t="n">
        <x:v>2.78</x:v>
      </x:c>
      <x:c r="F255" s="12" t="n">
        <x:v>0.33</x:v>
      </x:c>
      <x:c r="G255" t="str">
        <x:v>markdown only</x:v>
      </x:c>
    </x:row>
    <x:row r="256">
      <x:c r="A256" t="str">
        <x:v>Pangkor Laut</x:v>
      </x:c>
      <x:c r="B256" t="str">
        <x:v>Perak</x:v>
      </x:c>
      <x:c r="C256" t="n">
        <x:v>2022</x:v>
      </x:c>
      <x:c r="D256" s="12" t="n">
        <x:v>61.26</x:v>
      </x:c>
      <x:c r="E256" s="12" t="n">
        <x:v>0.32</x:v>
      </x:c>
      <x:c r="F256" s="12" t="n">
        <x:v>0.15</x:v>
      </x:c>
      <x:c r="G256" t="str">
        <x:v>mixed - markdown primary, PDF filled gaps</x:v>
      </x:c>
    </x:row>
    <x:row r="257">
      <x:c r="A257" t="str">
        <x:v>Sembilan</x:v>
      </x:c>
      <x:c r="B257" t="str">
        <x:v>Perak</x:v>
      </x:c>
      <x:c r="C257" t="n">
        <x:v>2022</x:v>
      </x:c>
      <x:c r="D257" s="12" t="n">
        <x:v>29.31</x:v>
      </x:c>
      <x:c r="E257" s="12" t="n">
        <x:v>0.49</x:v>
      </x:c>
      <x:c r="F257" s="12" t="n">
        <x:v>0.15</x:v>
      </x:c>
      <x:c r="G257" t="str">
        <x:v>markdown only</x:v>
      </x:c>
    </x:row>
    <x:row r="258">
      <x:c r="A258" t="str">
        <x:v>Kapalai</x:v>
      </x:c>
      <x:c r="B258" t="str">
        <x:v>Sabah</x:v>
      </x:c>
      <x:c r="C258" t="n">
        <x:v>2022</x:v>
      </x:c>
      <x:c r="D258" s="12" t="n">
        <x:v>24.27</x:v>
      </x:c>
      <x:c r="E258" s="12" t="n">
        <x:v>6.04</x:v>
      </x:c>
      <x:c r="F258" s="12" t="n">
        <x:v>0.92</x:v>
      </x:c>
      <x:c r="G258" t="str">
        <x:v>markdown only</x:v>
      </x:c>
    </x:row>
    <x:row r="259">
      <x:c r="A259" t="str">
        <x:v>Labuan</x:v>
      </x:c>
      <x:c r="B259" t="str">
        <x:v>Sabah</x:v>
      </x:c>
      <x:c r="C259" t="n">
        <x:v>2022</x:v>
      </x:c>
      <x:c r="D259" s="12" t="n">
        <x:v>42.19</x:v>
      </x:c>
      <x:c r="E259" s="12" t="n">
        <x:v>4.217</x:v>
      </x:c>
      <x:c r="F259" s="12" t="n">
        <x:v>0.92</x:v>
      </x:c>
      <x:c r="G259" t="str">
        <x:v>markdown only</x:v>
      </x:c>
    </x:row>
    <x:row r="260">
      <x:c r="A260" t="str">
        <x:v>Lahad Datu</x:v>
      </x:c>
      <x:c r="B260" t="str">
        <x:v>Sabah</x:v>
      </x:c>
      <x:c r="C260" t="n">
        <x:v>2022</x:v>
      </x:c>
      <x:c r="D260" s="12" t="n">
        <x:v>43</x:v>
      </x:c>
      <x:c r="E260" s="12" t="n">
        <x:v>10.34</x:v>
      </x:c>
      <x:c r="F260" s="12" t="n">
        <x:v>0.92</x:v>
      </x:c>
      <x:c r="G260" t="str">
        <x:v>markdown only</x:v>
      </x:c>
    </x:row>
    <x:row r="261">
      <x:c r="A261" t="str">
        <x:v>Lankayan</x:v>
      </x:c>
      <x:c r="B261" t="str">
        <x:v>Sabah</x:v>
      </x:c>
      <x:c r="C261" t="n">
        <x:v>2022</x:v>
      </x:c>
      <x:c r="D261" s="12" t="n">
        <x:v>54.92</x:v>
      </x:c>
      <x:c r="E261" s="12" t="n">
        <x:v>15.77</x:v>
      </x:c>
      <x:c r="F261" s="12" t="n">
        <x:v>0.92</x:v>
      </x:c>
      <x:c r="G261" t="str">
        <x:v>markdown only</x:v>
      </x:c>
    </x:row>
    <x:row r="262">
      <x:c r="A262" t="str">
        <x:v>Larapan</x:v>
      </x:c>
      <x:c r="B262" t="str">
        <x:v>Sabah</x:v>
      </x:c>
      <x:c r="C262" t="n">
        <x:v>2022</x:v>
      </x:c>
      <x:c r="D262" s="12" t="n">
        <x:v>55.63</x:v>
      </x:c>
      <x:c r="E262" s="12" t="n">
        <x:v>-11.45</x:v>
      </x:c>
      <x:c r="F262" s="12" t="n">
        <x:v>0.92</x:v>
      </x:c>
      <x:c r="G262" t="str">
        <x:v>markdown only</x:v>
      </x:c>
    </x:row>
    <x:row r="263">
      <x:c r="A263" t="str">
        <x:v>Mabul</x:v>
      </x:c>
      <x:c r="B263" t="str">
        <x:v>Sabah</x:v>
      </x:c>
      <x:c r="C263" t="n">
        <x:v>2022</x:v>
      </x:c>
      <x:c r="D263" s="12" t="n">
        <x:v>33.23</x:v>
      </x:c>
      <x:c r="E263" s="12" t="n">
        <x:v>5.43</x:v>
      </x:c>
      <x:c r="F263" s="12" t="n">
        <x:v>0.92</x:v>
      </x:c>
      <x:c r="G263" t="str">
        <x:v>markdown only</x:v>
      </x:c>
    </x:row>
    <x:row r="264">
      <x:c r="A264" t="str">
        <x:v>Mantanani</x:v>
      </x:c>
      <x:c r="B264" t="str">
        <x:v>Sabah</x:v>
      </x:c>
      <x:c r="C264" t="n">
        <x:v>2022</x:v>
      </x:c>
      <x:c r="D264" s="12" t="n">
        <x:v>51.93</x:v>
      </x:c>
      <x:c r="E264" s="12" t="n">
        <x:v>14.12</x:v>
      </x:c>
      <x:c r="F264" s="12" t="n">
        <x:v>0.92</x:v>
      </x:c>
      <x:c r="G264" t="str">
        <x:v>markdown only</x:v>
      </x:c>
    </x:row>
    <x:row r="265">
      <x:c r="A265" t="str">
        <x:v>Mataking</x:v>
      </x:c>
      <x:c r="B265" t="str">
        <x:v>Sabah</x:v>
      </x:c>
      <x:c r="C265" t="n">
        <x:v>2022</x:v>
      </x:c>
      <x:c r="D265" s="12" t="n">
        <x:v>36.04</x:v>
      </x:c>
      <x:c r="E265" s="12" t="n">
        <x:v>14.67</x:v>
      </x:c>
      <x:c r="F265" s="12" t="n">
        <x:v>0.92</x:v>
      </x:c>
      <x:c r="G265" t="str">
        <x:v>markdown only</x:v>
      </x:c>
    </x:row>
    <x:row r="266">
      <x:c r="A266" t="str">
        <x:v>Penyu</x:v>
      </x:c>
      <x:c r="B266" t="str">
        <x:v>Sabah</x:v>
      </x:c>
      <x:c r="C266" t="n">
        <x:v>2022</x:v>
      </x:c>
      <x:c r="D266" s="12" t="n">
        <x:v>42.92</x:v>
      </x:c>
      <x:c r="E266" s="12" t="n">
        <x:v>-3.77</x:v>
      </x:c>
      <x:c r="F266" s="12" t="n">
        <x:v>0.92</x:v>
      </x:c>
      <x:c r="G266" t="str">
        <x:v>markdown only</x:v>
      </x:c>
    </x:row>
    <x:row r="267">
      <x:c r="A267" t="str">
        <x:v>Sipadan</x:v>
      </x:c>
      <x:c r="B267" t="str">
        <x:v>Sabah</x:v>
      </x:c>
      <x:c r="C267" t="n">
        <x:v>2022</x:v>
      </x:c>
      <x:c r="D267" s="12" t="n">
        <x:v>50.57</x:v>
      </x:c>
      <x:c r="E267" s="12" t="n">
        <x:v>-3.91</x:v>
      </x:c>
      <x:c r="F267" s="12" t="n">
        <x:v>0.92</x:v>
      </x:c>
      <x:c r="G267" t="str">
        <x:v>markdown only</x:v>
      </x:c>
    </x:row>
    <x:row r="268">
      <x:c r="A268" t="str">
        <x:v>Tiga</x:v>
      </x:c>
      <x:c r="B268" t="str">
        <x:v>Sabah</x:v>
      </x:c>
      <x:c r="C268" t="n">
        <x:v>2022</x:v>
      </x:c>
      <x:c r="D268" s="12" t="n">
        <x:v>33.39</x:v>
      </x:c>
      <x:c r="E268" s="12" t="n">
        <x:v>-10.19</x:v>
      </x:c>
      <x:c r="F268" s="12" t="n">
        <x:v>0.92</x:v>
      </x:c>
      <x:c r="G268" t="str">
        <x:v>markdown only</x:v>
      </x:c>
    </x:row>
    <x:row r="269">
      <x:c r="A269" t="str">
        <x:v>Tun Mustapha Park</x:v>
      </x:c>
      <x:c r="B269" t="str">
        <x:v>Sabah</x:v>
      </x:c>
      <x:c r="C269" t="n">
        <x:v>2022</x:v>
      </x:c>
      <x:c r="D269" s="12" t="n">
        <x:v>45.59</x:v>
      </x:c>
      <x:c r="E269" s="12"/>
      <x:c r="F269" s="12" t="n">
        <x:v>0.92</x:v>
      </x:c>
      <x:c r="G269" t="str">
        <x:v>markdown only</x:v>
      </x:c>
    </x:row>
    <x:row r="270">
      <x:c r="A270" t="str">
        <x:v>Tun Sakaran Marine Park</x:v>
      </x:c>
      <x:c r="B270" t="str">
        <x:v>Sabah</x:v>
      </x:c>
      <x:c r="C270" t="n">
        <x:v>2022</x:v>
      </x:c>
      <x:c r="D270" s="12" t="n">
        <x:v>51.56</x:v>
      </x:c>
      <x:c r="E270" s="12" t="n">
        <x:v>15.51</x:v>
      </x:c>
      <x:c r="F270" s="12" t="n">
        <x:v>0.92</x:v>
      </x:c>
      <x:c r="G270" t="str">
        <x:v>markdown only</x:v>
      </x:c>
    </x:row>
    <x:row r="271">
      <x:c r="A271" t="str">
        <x:v>Tunku Abdul Rahman Park</x:v>
      </x:c>
      <x:c r="B271" t="str">
        <x:v>Sabah</x:v>
      </x:c>
      <x:c r="C271" t="n">
        <x:v>2022</x:v>
      </x:c>
      <x:c r="D271" s="12" t="n">
        <x:v>20.07</x:v>
      </x:c>
      <x:c r="E271" s="12" t="n">
        <x:v>-28.28</x:v>
      </x:c>
      <x:c r="F271" s="12" t="n">
        <x:v>0.92</x:v>
      </x:c>
      <x:c r="G271" t="str">
        <x:v>mixed - markdown primary, PDF filled gaps</x:v>
      </x:c>
    </x:row>
    <x:row r="272">
      <x:c r="A272" t="str">
        <x:v>Usukan Cove</x:v>
      </x:c>
      <x:c r="B272" t="str">
        <x:v>Sabah</x:v>
      </x:c>
      <x:c r="C272" t="n">
        <x:v>2022</x:v>
      </x:c>
      <x:c r="D272" s="12" t="n">
        <x:v>29.9</x:v>
      </x:c>
      <x:c r="E272" s="12" t="n">
        <x:v>-5.93</x:v>
      </x:c>
      <x:c r="F272" s="12" t="n">
        <x:v>0.92</x:v>
      </x:c>
      <x:c r="G272" t="str">
        <x:v>markdown only</x:v>
      </x:c>
    </x:row>
    <x:row r="273">
      <x:c r="A273" t="str">
        <x:v>Miri</x:v>
      </x:c>
      <x:c r="B273" t="str">
        <x:v>Sarawak</x:v>
      </x:c>
      <x:c r="C273" t="n">
        <x:v>2022</x:v>
      </x:c>
      <x:c r="D273" s="12" t="n">
        <x:v>48.59</x:v>
      </x:c>
      <x:c r="E273" s="12" t="n">
        <x:v>-0.78</x:v>
      </x:c>
      <x:c r="F273" s="12" t="n">
        <x:v>0.59</x:v>
      </x:c>
      <x:c r="G273" t="str">
        <x:v>markdown only</x:v>
      </x:c>
    </x:row>
    <x:row r="274">
      <x:c r="A274" t="str">
        <x:v>Bidong &amp; Yu</x:v>
      </x:c>
      <x:c r="B274" t="str">
        <x:v>Terengganu</x:v>
      </x:c>
      <x:c r="C274" t="n">
        <x:v>2022</x:v>
      </x:c>
      <x:c r="D274" s="12" t="n">
        <x:v>63.54</x:v>
      </x:c>
      <x:c r="E274" s="12" t="n">
        <x:v>8.02</x:v>
      </x:c>
      <x:c r="F274" s="12" t="n">
        <x:v>1.13</x:v>
      </x:c>
      <x:c r="G274" t="str">
        <x:v>markdown only</x:v>
      </x:c>
    </x:row>
    <x:row r="275">
      <x:c r="A275" t="str">
        <x:v>Kapas</x:v>
      </x:c>
      <x:c r="B275" t="str">
        <x:v>Terengganu</x:v>
      </x:c>
      <x:c r="C275" t="n">
        <x:v>2022</x:v>
      </x:c>
      <x:c r="D275" s="12" t="n">
        <x:v>47.63</x:v>
      </x:c>
      <x:c r="E275" s="12" t="n">
        <x:v>4.24</x:v>
      </x:c>
      <x:c r="F275" s="12" t="n">
        <x:v>1.13</x:v>
      </x:c>
      <x:c r="G275" t="str">
        <x:v>markdown only</x:v>
      </x:c>
    </x:row>
    <x:row r="276">
      <x:c r="A276" t="str">
        <x:v>Lang Tengah</x:v>
      </x:c>
      <x:c r="B276" t="str">
        <x:v>Terengganu</x:v>
      </x:c>
      <x:c r="C276" t="n">
        <x:v>2022</x:v>
      </x:c>
      <x:c r="D276" s="12" t="n">
        <x:v>46.09</x:v>
      </x:c>
      <x:c r="E276" s="12" t="n">
        <x:v>2.302</x:v>
      </x:c>
      <x:c r="F276" s="12" t="n">
        <x:v>1.13</x:v>
      </x:c>
      <x:c r="G276" t="str">
        <x:v>markdown only</x:v>
      </x:c>
    </x:row>
    <x:row r="277">
      <x:c r="A277" t="str">
        <x:v>Perhentian</x:v>
      </x:c>
      <x:c r="B277" t="str">
        <x:v>Terengganu</x:v>
      </x:c>
      <x:c r="C277" t="n">
        <x:v>2022</x:v>
      </x:c>
      <x:c r="D277" s="12" t="n">
        <x:v>41.31</x:v>
      </x:c>
      <x:c r="E277" s="12" t="n">
        <x:v>-1.12</x:v>
      </x:c>
      <x:c r="F277" s="12" t="n">
        <x:v>1.13</x:v>
      </x:c>
      <x:c r="G277" t="str">
        <x:v>markdown only</x:v>
      </x:c>
    </x:row>
    <x:row r="278">
      <x:c r="A278" t="str">
        <x:v>Redang</x:v>
      </x:c>
      <x:c r="B278" t="str">
        <x:v>Terengganu</x:v>
      </x:c>
      <x:c r="C278" t="n">
        <x:v>2022</x:v>
      </x:c>
      <x:c r="D278" s="12" t="n">
        <x:v>48.28</x:v>
      </x:c>
      <x:c r="E278" s="12" t="n">
        <x:v>-7.54</x:v>
      </x:c>
      <x:c r="F278" s="12" t="n">
        <x:v>1.13</x:v>
      </x:c>
      <x:c r="G278" t="str">
        <x:v>markdown only</x:v>
      </x:c>
    </x:row>
    <x:row r="279">
      <x:c r="A279" t="str">
        <x:v>Rhu</x:v>
      </x:c>
      <x:c r="B279" t="str">
        <x:v>Terengganu</x:v>
      </x:c>
      <x:c r="C279" t="n">
        <x:v>2022</x:v>
      </x:c>
      <x:c r="D279" s="12" t="n">
        <x:v>43.44</x:v>
      </x:c>
      <x:c r="E279" s="12"/>
      <x:c r="F279" s="12" t="n">
        <x:v>1.13</x:v>
      </x:c>
      <x:c r="G279" t="str">
        <x:v>markdown only</x:v>
      </x:c>
    </x:row>
    <x:row r="280">
      <x:c r="A280" t="str">
        <x:v>Tenggol</x:v>
      </x:c>
      <x:c r="B280" t="str">
        <x:v>Terengganu</x:v>
      </x:c>
      <x:c r="C280" t="n">
        <x:v>2022</x:v>
      </x:c>
      <x:c r="D280" s="12" t="n">
        <x:v>51.44</x:v>
      </x:c>
      <x:c r="E280" s="12" t="n">
        <x:v>-6.36</x:v>
      </x:c>
      <x:c r="F280" s="12" t="n">
        <x:v>1.13</x:v>
      </x:c>
      <x:c r="G280" t="str">
        <x:v>mixed - markdown primary, PDF filled gaps</x:v>
      </x:c>
    </x:row>
    <x:row r="281">
      <x:c r="A281" t="str">
        <x:v>Aur &amp; Dayang</x:v>
      </x:c>
      <x:c r="B281" t="str">
        <x:v>Johor</x:v>
      </x:c>
      <x:c r="C281" t="n">
        <x:v>2023</x:v>
      </x:c>
      <x:c r="D281" s="12" t="n">
        <x:v>35.21</x:v>
      </x:c>
      <x:c r="E281" s="12" t="n">
        <x:v>-3.96</x:v>
      </x:c>
      <x:c r="F281" s="12" t="n">
        <x:v>1.2</x:v>
      </x:c>
      <x:c r="G281" t="str">
        <x:v>mixed - markdown primary, PDF filled gaps</x:v>
      </x:c>
    </x:row>
    <x:row r="282">
      <x:c r="A282" t="str">
        <x:v>Besar</x:v>
      </x:c>
      <x:c r="B282" t="str">
        <x:v>Johor</x:v>
      </x:c>
      <x:c r="C282" t="n">
        <x:v>2023</x:v>
      </x:c>
      <x:c r="D282" s="12" t="n">
        <x:v>50.63</x:v>
      </x:c>
      <x:c r="E282" s="12" t="n">
        <x:v>2.24</x:v>
      </x:c>
      <x:c r="F282" s="12" t="n">
        <x:v>1.2</x:v>
      </x:c>
      <x:c r="G282" t="str">
        <x:v>mixed - markdown primary, PDF filled gaps</x:v>
      </x:c>
    </x:row>
    <x:row r="283">
      <x:c r="A283" t="str">
        <x:v>Gual</x:v>
      </x:c>
      <x:c r="B283" t="str">
        <x:v>Johor</x:v>
      </x:c>
      <x:c r="C283" t="n">
        <x:v>2023</x:v>
      </x:c>
      <x:c r="D283" s="12" t="n">
        <x:v>54.24</x:v>
      </x:c>
      <x:c r="E283" s="12" t="n">
        <x:v>-2.7</x:v>
      </x:c>
      <x:c r="F283" s="12" t="n">
        <x:v>1.2</x:v>
      </x:c>
      <x:c r="G283" t="str">
        <x:v>mixed - markdown primary, PDF filled gaps</x:v>
      </x:c>
    </x:row>
    <x:row r="284">
      <x:c r="A284" t="str">
        <x:v>Harimau</x:v>
      </x:c>
      <x:c r="B284" t="str">
        <x:v>Johor</x:v>
      </x:c>
      <x:c r="C284" t="n">
        <x:v>2023</x:v>
      </x:c>
      <x:c r="D284" s="12" t="n">
        <x:v>64.11</x:v>
      </x:c>
      <x:c r="E284" s="12" t="n">
        <x:v>11.52</x:v>
      </x:c>
      <x:c r="F284" s="12" t="n">
        <x:v>1.2</x:v>
      </x:c>
      <x:c r="G284" t="str">
        <x:v>mixed - markdown primary, PDF filled gaps</x:v>
      </x:c>
    </x:row>
    <x:row r="285">
      <x:c r="A285" t="str">
        <x:v>Hujung</x:v>
      </x:c>
      <x:c r="B285" t="str">
        <x:v>Johor</x:v>
      </x:c>
      <x:c r="C285" t="n">
        <x:v>2023</x:v>
      </x:c>
      <x:c r="D285" s="12" t="n">
        <x:v>55.83</x:v>
      </x:c>
      <x:c r="E285" s="12" t="n">
        <x:v>2.64</x:v>
      </x:c>
      <x:c r="F285" s="12" t="n">
        <x:v>1.2</x:v>
      </x:c>
      <x:c r="G285" t="str">
        <x:v>mixed - markdown primary, PDF filled gaps</x:v>
      </x:c>
    </x:row>
    <x:row r="286">
      <x:c r="A286" t="str">
        <x:v>Lima</x:v>
      </x:c>
      <x:c r="B286" t="str">
        <x:v>Johor</x:v>
      </x:c>
      <x:c r="C286" t="n">
        <x:v>2023</x:v>
      </x:c>
      <x:c r="D286" s="12" t="n">
        <x:v>62.92</x:v>
      </x:c>
      <x:c r="E286" s="12" t="n">
        <x:v>11.04</x:v>
      </x:c>
      <x:c r="F286" s="12" t="n">
        <x:v>1.2</x:v>
      </x:c>
      <x:c r="G286" t="str">
        <x:v>mixed - markdown primary, PDF filled gaps</x:v>
      </x:c>
    </x:row>
    <x:row r="287">
      <x:c r="A287" t="str">
        <x:v>Mensirip</x:v>
      </x:c>
      <x:c r="B287" t="str">
        <x:v>Johor</x:v>
      </x:c>
      <x:c r="C287" t="n">
        <x:v>2023</x:v>
      </x:c>
      <x:c r="D287" s="12" t="n">
        <x:v>68.12</x:v>
      </x:c>
      <x:c r="E287" s="12" t="n">
        <x:v>-1.08</x:v>
      </x:c>
      <x:c r="F287" s="12" t="n">
        <x:v>1.2</x:v>
      </x:c>
      <x:c r="G287" t="str">
        <x:v>PDF geometry only - not cross-checked</x:v>
      </x:c>
    </x:row>
    <x:row r="288">
      <x:c r="A288" t="str">
        <x:v>Mertang</x:v>
      </x:c>
      <x:c r="B288" t="str">
        <x:v>Johor</x:v>
      </x:c>
      <x:c r="C288" t="n">
        <x:v>2023</x:v>
      </x:c>
      <x:c r="D288" s="12" t="n">
        <x:v>68.54</x:v>
      </x:c>
      <x:c r="E288" s="12" t="n">
        <x:v>-7.5</x:v>
      </x:c>
      <x:c r="F288" s="12" t="n">
        <x:v>1.2</x:v>
      </x:c>
      <x:c r="G288" t="str">
        <x:v>PDF geometry only - not cross-checked</x:v>
      </x:c>
    </x:row>
    <x:row r="289">
      <x:c r="A289" t="str">
        <x:v>Pemanggil</x:v>
      </x:c>
      <x:c r="B289" t="str">
        <x:v>Johor</x:v>
      </x:c>
      <x:c r="C289" t="n">
        <x:v>2023</x:v>
      </x:c>
      <x:c r="D289" s="12" t="n">
        <x:v>46.25</x:v>
      </x:c>
      <x:c r="E289" s="12" t="n">
        <x:v>-2.66</x:v>
      </x:c>
      <x:c r="F289" s="12" t="n">
        <x:v>1.2</x:v>
      </x:c>
      <x:c r="G289" t="str">
        <x:v>mixed - markdown primary, PDF filled gaps</x:v>
      </x:c>
    </x:row>
    <x:row r="290">
      <x:c r="A290" t="str">
        <x:v>Rawa</x:v>
      </x:c>
      <x:c r="B290" t="str">
        <x:v>Johor</x:v>
      </x:c>
      <x:c r="C290" t="n">
        <x:v>2023</x:v>
      </x:c>
      <x:c r="D290" s="12" t="n">
        <x:v>59.31</x:v>
      </x:c>
      <x:c r="E290" s="12" t="n">
        <x:v>-3.04</x:v>
      </x:c>
      <x:c r="F290" s="12" t="n">
        <x:v>1.2</x:v>
      </x:c>
      <x:c r="G290" t="str">
        <x:v>mixed - markdown primary, PDF filled gaps</x:v>
      </x:c>
    </x:row>
    <x:row r="291">
      <x:c r="A291" t="str">
        <x:v>Sibu</x:v>
      </x:c>
      <x:c r="B291" t="str">
        <x:v>Johor</x:v>
      </x:c>
      <x:c r="C291" t="n">
        <x:v>2023</x:v>
      </x:c>
      <x:c r="D291" s="12" t="n">
        <x:v>57.6</x:v>
      </x:c>
      <x:c r="E291" s="12" t="n">
        <x:v>3.75</x:v>
      </x:c>
      <x:c r="F291" s="12" t="n">
        <x:v>1.2</x:v>
      </x:c>
      <x:c r="G291" t="str">
        <x:v>mixed - markdown primary, PDF filled gaps</x:v>
      </x:c>
    </x:row>
    <x:row r="292">
      <x:c r="A292" t="str">
        <x:v>Tengah</x:v>
      </x:c>
      <x:c r="B292" t="str">
        <x:v>Johor</x:v>
      </x:c>
      <x:c r="C292" t="n">
        <x:v>2023</x:v>
      </x:c>
      <x:c r="D292" s="12" t="n">
        <x:v>48.69</x:v>
      </x:c>
      <x:c r="E292" s="12" t="n">
        <x:v>-4.72</x:v>
      </x:c>
      <x:c r="F292" s="12" t="n">
        <x:v>1.2</x:v>
      </x:c>
      <x:c r="G292" t="str">
        <x:v>mixed - markdown primary, PDF filled gaps</x:v>
      </x:c>
    </x:row>
    <x:row r="293">
      <x:c r="A293" t="str">
        <x:v>Tinggi</x:v>
      </x:c>
      <x:c r="B293" t="str">
        <x:v>Johor</x:v>
      </x:c>
      <x:c r="C293" t="n">
        <x:v>2023</x:v>
      </x:c>
      <x:c r="D293" s="12" t="n">
        <x:v>50</x:v>
      </x:c>
      <x:c r="E293" s="12" t="n">
        <x:v>1.72</x:v>
      </x:c>
      <x:c r="F293" s="12" t="n">
        <x:v>1.2</x:v>
      </x:c>
      <x:c r="G293" t="str">
        <x:v>mixed - markdown primary, PDF filled gaps</x:v>
      </x:c>
    </x:row>
    <x:row r="294">
      <x:c r="A294" t="str">
        <x:v>Payar</x:v>
      </x:c>
      <x:c r="B294" t="str">
        <x:v>Kedah</x:v>
      </x:c>
      <x:c r="C294" t="n">
        <x:v>2023</x:v>
      </x:c>
      <x:c r="D294" s="12" t="n">
        <x:v>64</x:v>
      </x:c>
      <x:c r="E294" s="12" t="n">
        <x:v>6.87</x:v>
      </x:c>
      <x:c r="F294" s="12" t="n">
        <x:v>3.26</x:v>
      </x:c>
      <x:c r="G294" t="str">
        <x:v>PDF geometry only - not cross-checked</x:v>
      </x:c>
    </x:row>
    <x:row r="295">
      <x:c r="A295" t="str">
        <x:v>Singa</x:v>
      </x:c>
      <x:c r="B295" t="str">
        <x:v>Kedah</x:v>
      </x:c>
      <x:c r="C295" t="n">
        <x:v>2023</x:v>
      </x:c>
      <x:c r="D295" s="12" t="n">
        <x:v>64.39</x:v>
      </x:c>
      <x:c r="E295" s="12" t="n">
        <x:v>-3.12</x:v>
      </x:c>
      <x:c r="F295" s="12" t="n">
        <x:v>3.26</x:v>
      </x:c>
      <x:c r="G295" t="str">
        <x:v>PDF geometry only - not cross-checked</x:v>
      </x:c>
    </x:row>
    <x:row r="296">
      <x:c r="A296" t="str">
        <x:v>Malacca</x:v>
      </x:c>
      <x:c r="B296" t="str">
        <x:v>Malacca</x:v>
      </x:c>
      <x:c r="C296" t="n">
        <x:v>2023</x:v>
      </x:c>
      <x:c r="D296" s="12" t="n">
        <x:v>34.61</x:v>
      </x:c>
      <x:c r="E296" s="12" t="n">
        <x:v>4.49</x:v>
      </x:c>
      <x:c r="F296" s="12" t="n">
        <x:v>3.3</x:v>
      </x:c>
      <x:c r="G296" t="str">
        <x:v>PDF geometry only - not cross-checked</x:v>
      </x:c>
    </x:row>
    <x:row r="297">
      <x:c r="A297" t="str">
        <x:v>Port Dickson</x:v>
      </x:c>
      <x:c r="B297" t="str">
        <x:v>Negeri Sembilan</x:v>
      </x:c>
      <x:c r="C297" t="n">
        <x:v>2023</x:v>
      </x:c>
      <x:c r="D297" s="12" t="n">
        <x:v>45.94</x:v>
      </x:c>
      <x:c r="E297" s="12" t="n">
        <x:v>29.37</x:v>
      </x:c>
      <x:c r="F297" s="12" t="n">
        <x:v>3.3</x:v>
      </x:c>
      <x:c r="G297" t="str">
        <x:v>mixed - markdown primary, PDF filled gaps</x:v>
      </x:c>
    </x:row>
    <x:row r="298">
      <x:c r="A298" t="str">
        <x:v>Seri Buat</x:v>
      </x:c>
      <x:c r="B298" t="str">
        <x:v>Pahang</x:v>
      </x:c>
      <x:c r="C298" t="n">
        <x:v>2023</x:v>
      </x:c>
      <x:c r="D298" s="12" t="n">
        <x:v>63.73</x:v>
      </x:c>
      <x:c r="E298" s="12"/>
      <x:c r="F298" s="12" t="n">
        <x:v>3.3</x:v>
      </x:c>
      <x:c r="G298" t="str">
        <x:v>PDF geometry only - not cross-checked</x:v>
      </x:c>
    </x:row>
    <x:row r="299">
      <x:c r="A299" t="str">
        <x:v>Tioman</x:v>
      </x:c>
      <x:c r="B299" t="str">
        <x:v>Pahang</x:v>
      </x:c>
      <x:c r="C299" t="n">
        <x:v>2023</x:v>
      </x:c>
      <x:c r="D299" s="12" t="n">
        <x:v>64.62</x:v>
      </x:c>
      <x:c r="E299" s="12" t="n">
        <x:v>1.25</x:v>
      </x:c>
      <x:c r="F299" s="12" t="n">
        <x:v>1.2</x:v>
      </x:c>
      <x:c r="G299" t="str">
        <x:v>mixed - markdown primary, PDF filled gaps</x:v>
      </x:c>
    </x:row>
    <x:row r="300">
      <x:c r="A300" t="str">
        <x:v>Pangkor Laut</x:v>
      </x:c>
      <x:c r="B300" t="str">
        <x:v>Perak</x:v>
      </x:c>
      <x:c r="C300" t="n">
        <x:v>2023</x:v>
      </x:c>
      <x:c r="D300" s="12" t="n">
        <x:v>53.75</x:v>
      </x:c>
      <x:c r="E300" s="12" t="n">
        <x:v>-7.51</x:v>
      </x:c>
      <x:c r="F300" s="12" t="n">
        <x:v>3.26</x:v>
      </x:c>
      <x:c r="G300" t="str">
        <x:v>mixed - markdown primary, PDF filled gaps</x:v>
      </x:c>
    </x:row>
    <x:row r="301">
      <x:c r="A301" t="str">
        <x:v>Sembilan</x:v>
      </x:c>
      <x:c r="B301" t="str">
        <x:v>Perak</x:v>
      </x:c>
      <x:c r="C301" t="n">
        <x:v>2023</x:v>
      </x:c>
      <x:c r="D301" s="12" t="n">
        <x:v>28.96</x:v>
      </x:c>
      <x:c r="E301" s="12" t="n">
        <x:v>-0.35</x:v>
      </x:c>
      <x:c r="F301" s="12" t="n">
        <x:v>3.26</x:v>
      </x:c>
      <x:c r="G301" t="str">
        <x:v>mixed - markdown primary, PDF filled gaps</x:v>
      </x:c>
    </x:row>
    <x:row r="302">
      <x:c r="A302" t="str">
        <x:v>Kapalai</x:v>
      </x:c>
      <x:c r="B302" t="str">
        <x:v>Sabah</x:v>
      </x:c>
      <x:c r="C302" t="n">
        <x:v>2023</x:v>
      </x:c>
      <x:c r="D302" s="12" t="n">
        <x:v>21.15</x:v>
      </x:c>
      <x:c r="E302" s="12" t="n">
        <x:v>-3.12</x:v>
      </x:c>
      <x:c r="F302" s="12" t="n">
        <x:v>8.7</x:v>
      </x:c>
      <x:c r="G302" t="str">
        <x:v>mixed - markdown primary, PDF filled gaps</x:v>
      </x:c>
    </x:row>
    <x:row r="303">
      <x:c r="A303" t="str">
        <x:v>Labuan</x:v>
      </x:c>
      <x:c r="B303" t="str">
        <x:v>Sabah</x:v>
      </x:c>
      <x:c r="C303" t="n">
        <x:v>2023</x:v>
      </x:c>
      <x:c r="D303" s="12" t="n">
        <x:v>38.92</x:v>
      </x:c>
      <x:c r="E303" s="12" t="n">
        <x:v>-3.27</x:v>
      </x:c>
      <x:c r="F303" s="12" t="n">
        <x:v>8.7</x:v>
      </x:c>
      <x:c r="G303" t="str">
        <x:v>PDF geometry only - not cross-checked</x:v>
      </x:c>
    </x:row>
    <x:row r="304">
      <x:c r="A304" t="str">
        <x:v>Lahad Datu</x:v>
      </x:c>
      <x:c r="B304" t="str">
        <x:v>Sabah</x:v>
      </x:c>
      <x:c r="C304" t="n">
        <x:v>2023</x:v>
      </x:c>
      <x:c r="D304" s="12" t="n">
        <x:v>35.25</x:v>
      </x:c>
      <x:c r="E304" s="12" t="n">
        <x:v>-7.75</x:v>
      </x:c>
      <x:c r="F304" s="12" t="n">
        <x:v>8.7</x:v>
      </x:c>
      <x:c r="G304" t="str">
        <x:v>PDF geometry only - not cross-checked</x:v>
      </x:c>
    </x:row>
    <x:row r="305">
      <x:c r="A305" t="str">
        <x:v>Lankayan</x:v>
      </x:c>
      <x:c r="B305" t="str">
        <x:v>Sabah</x:v>
      </x:c>
      <x:c r="C305" t="n">
        <x:v>2023</x:v>
      </x:c>
      <x:c r="D305" s="12" t="n">
        <x:v>47.58</x:v>
      </x:c>
      <x:c r="E305" s="12" t="n">
        <x:v>-7.34</x:v>
      </x:c>
      <x:c r="F305" s="12" t="n">
        <x:v>8.7</x:v>
      </x:c>
      <x:c r="G305" t="str">
        <x:v>mixed - markdown primary, PDF filled gaps</x:v>
      </x:c>
    </x:row>
    <x:row r="306">
      <x:c r="A306" t="str">
        <x:v>Larapan</x:v>
      </x:c>
      <x:c r="B306" t="str">
        <x:v>Sabah</x:v>
      </x:c>
      <x:c r="C306" t="n">
        <x:v>2023</x:v>
      </x:c>
      <x:c r="D306" s="12" t="n">
        <x:v>56.38</x:v>
      </x:c>
      <x:c r="E306" s="12" t="n">
        <x:v>0.75</x:v>
      </x:c>
      <x:c r="F306" s="12" t="n">
        <x:v>8.7</x:v>
      </x:c>
      <x:c r="G306" t="str">
        <x:v>mixed - markdown primary, PDF filled gaps</x:v>
      </x:c>
    </x:row>
    <x:row r="307">
      <x:c r="A307" t="str">
        <x:v>Mabul</x:v>
      </x:c>
      <x:c r="B307" t="str">
        <x:v>Sabah</x:v>
      </x:c>
      <x:c r="C307" t="n">
        <x:v>2023</x:v>
      </x:c>
      <x:c r="D307" s="12" t="n">
        <x:v>23.01</x:v>
      </x:c>
      <x:c r="E307" s="12" t="n">
        <x:v>-10.22</x:v>
      </x:c>
      <x:c r="F307" s="12" t="n">
        <x:v>8.7</x:v>
      </x:c>
      <x:c r="G307" t="str">
        <x:v>PDF geometry only - not cross-checked</x:v>
      </x:c>
    </x:row>
    <x:row r="308">
      <x:c r="A308" t="str">
        <x:v>Mantanani</x:v>
      </x:c>
      <x:c r="B308" t="str">
        <x:v>Sabah</x:v>
      </x:c>
      <x:c r="C308" t="n">
        <x:v>2023</x:v>
      </x:c>
      <x:c r="D308" s="12" t="n">
        <x:v>30.94</x:v>
      </x:c>
      <x:c r="E308" s="12" t="n">
        <x:v>-20.99</x:v>
      </x:c>
      <x:c r="F308" s="12" t="n">
        <x:v>8.7</x:v>
      </x:c>
      <x:c r="G308" t="str">
        <x:v>PDF geometry only - not cross-checked</x:v>
      </x:c>
    </x:row>
    <x:row r="309">
      <x:c r="A309" t="str">
        <x:v>Mataking</x:v>
      </x:c>
      <x:c r="B309" t="str">
        <x:v>Sabah</x:v>
      </x:c>
      <x:c r="C309" t="n">
        <x:v>2023</x:v>
      </x:c>
      <x:c r="D309" s="12" t="n">
        <x:v>36.58</x:v>
      </x:c>
      <x:c r="E309" s="12" t="n">
        <x:v>0.54</x:v>
      </x:c>
      <x:c r="F309" s="12" t="n">
        <x:v>8.7</x:v>
      </x:c>
      <x:c r="G309" t="str">
        <x:v>PDF geometry only - not cross-checked</x:v>
      </x:c>
    </x:row>
    <x:row r="310">
      <x:c r="A310" t="str">
        <x:v>Penyu</x:v>
      </x:c>
      <x:c r="B310" t="str">
        <x:v>Sabah</x:v>
      </x:c>
      <x:c r="C310" t="n">
        <x:v>2023</x:v>
      </x:c>
      <x:c r="D310" s="12" t="n">
        <x:v>32.42</x:v>
      </x:c>
      <x:c r="E310" s="12" t="n">
        <x:v>-10.5</x:v>
      </x:c>
      <x:c r="F310" s="12" t="n">
        <x:v>8.7</x:v>
      </x:c>
      <x:c r="G310" t="str">
        <x:v>PDF geometry only - not cross-checked</x:v>
      </x:c>
    </x:row>
    <x:row r="311">
      <x:c r="A311" t="str">
        <x:v>Sipadan</x:v>
      </x:c>
      <x:c r="B311" t="str">
        <x:v>Sabah</x:v>
      </x:c>
      <x:c r="C311" t="n">
        <x:v>2023</x:v>
      </x:c>
      <x:c r="D311" s="12" t="n">
        <x:v>56.88</x:v>
      </x:c>
      <x:c r="E311" s="12" t="n">
        <x:v>6.31</x:v>
      </x:c>
      <x:c r="F311" s="12" t="n">
        <x:v>8.7</x:v>
      </x:c>
      <x:c r="G311" t="str">
        <x:v>mixed - markdown primary, PDF filled gaps</x:v>
      </x:c>
    </x:row>
    <x:row r="312">
      <x:c r="A312" t="str">
        <x:v>Tiga</x:v>
      </x:c>
      <x:c r="B312" t="str">
        <x:v>Sabah</x:v>
      </x:c>
      <x:c r="C312" t="n">
        <x:v>2023</x:v>
      </x:c>
      <x:c r="D312" s="12" t="n">
        <x:v>33.39</x:v>
      </x:c>
      <x:c r="E312" s="12" t="n">
        <x:v>0</x:v>
      </x:c>
      <x:c r="F312" s="12" t="n">
        <x:v>8.7</x:v>
      </x:c>
      <x:c r="G312" t="str">
        <x:v>mixed - markdown primary, PDF filled gaps</x:v>
      </x:c>
    </x:row>
    <x:row r="313">
      <x:c r="A313" t="str">
        <x:v>Tun Mustapha Park</x:v>
      </x:c>
      <x:c r="B313" t="str">
        <x:v>Sabah</x:v>
      </x:c>
      <x:c r="C313" t="n">
        <x:v>2023</x:v>
      </x:c>
      <x:c r="D313" s="12" t="n">
        <x:v>42.19</x:v>
      </x:c>
      <x:c r="E313" s="12" t="n">
        <x:v>-3.4</x:v>
      </x:c>
      <x:c r="F313" s="12" t="n">
        <x:v>8.7</x:v>
      </x:c>
      <x:c r="G313" t="str">
        <x:v>mixed - markdown primary, PDF filled gaps</x:v>
      </x:c>
    </x:row>
    <x:row r="314">
      <x:c r="A314" t="str">
        <x:v>Tun Sakaran Marine Park</x:v>
      </x:c>
      <x:c r="B314" t="str">
        <x:v>Sabah</x:v>
      </x:c>
      <x:c r="C314" t="n">
        <x:v>2023</x:v>
      </x:c>
      <x:c r="D314" s="12" t="n">
        <x:v>45.83</x:v>
      </x:c>
      <x:c r="E314" s="12" t="n">
        <x:v>-5.73</x:v>
      </x:c>
      <x:c r="F314" s="12" t="n">
        <x:v>8.7</x:v>
      </x:c>
      <x:c r="G314" t="str">
        <x:v>mixed - markdown primary, PDF filled gaps</x:v>
      </x:c>
    </x:row>
    <x:row r="315">
      <x:c r="A315" t="str">
        <x:v>Tunku Abdul Rahman Park</x:v>
      </x:c>
      <x:c r="B315" t="str">
        <x:v>Sabah</x:v>
      </x:c>
      <x:c r="C315" t="n">
        <x:v>2023</x:v>
      </x:c>
      <x:c r="D315" s="12" t="n">
        <x:v>21.09</x:v>
      </x:c>
      <x:c r="E315" s="12" t="n">
        <x:v>1.02</x:v>
      </x:c>
      <x:c r="F315" s="12" t="n">
        <x:v>8.7</x:v>
      </x:c>
      <x:c r="G315" t="str">
        <x:v>mixed - markdown primary, PDF filled gaps</x:v>
      </x:c>
    </x:row>
    <x:row r="316">
      <x:c r="A316" t="str">
        <x:v>Usukan Cove</x:v>
      </x:c>
      <x:c r="B316" t="str">
        <x:v>Sabah</x:v>
      </x:c>
      <x:c r="C316" t="n">
        <x:v>2023</x:v>
      </x:c>
      <x:c r="D316" s="12" t="n">
        <x:v>25.73</x:v>
      </x:c>
      <x:c r="E316" s="12" t="n">
        <x:v>-4.17</x:v>
      </x:c>
      <x:c r="F316" s="12" t="n">
        <x:v>8.7</x:v>
      </x:c>
      <x:c r="G316" t="str">
        <x:v>mixed - markdown primary, PDF filled gaps</x:v>
      </x:c>
    </x:row>
    <x:row r="317">
      <x:c r="A317" t="str">
        <x:v>Miri</x:v>
      </x:c>
      <x:c r="B317" t="str">
        <x:v>Sarawak</x:v>
      </x:c>
      <x:c r="C317" t="n">
        <x:v>2023</x:v>
      </x:c>
      <x:c r="D317" s="12" t="n">
        <x:v>45.16</x:v>
      </x:c>
      <x:c r="E317" s="12" t="n">
        <x:v>-3.43</x:v>
      </x:c>
      <x:c r="F317" s="12" t="n">
        <x:v>2.62</x:v>
      </x:c>
      <x:c r="G317" t="str">
        <x:v>mixed - markdown primary, PDF filled gaps</x:v>
      </x:c>
    </x:row>
    <x:row r="318">
      <x:c r="A318" t="str">
        <x:v>Bidong &amp; Yu</x:v>
      </x:c>
      <x:c r="B318" t="str">
        <x:v>Terengganu</x:v>
      </x:c>
      <x:c r="C318" t="n">
        <x:v>2023</x:v>
      </x:c>
      <x:c r="D318" s="12" t="n">
        <x:v>67.61</x:v>
      </x:c>
      <x:c r="E318" s="12" t="n">
        <x:v>4.07</x:v>
      </x:c>
      <x:c r="F318" s="12" t="n">
        <x:v>3.3</x:v>
      </x:c>
      <x:c r="G318" t="str">
        <x:v>PDF geometry only - not cross-checked</x:v>
      </x:c>
    </x:row>
    <x:row r="319">
      <x:c r="A319" t="str">
        <x:v>Kapas</x:v>
      </x:c>
      <x:c r="B319" t="str">
        <x:v>Terengganu</x:v>
      </x:c>
      <x:c r="C319" t="n">
        <x:v>2023</x:v>
      </x:c>
      <x:c r="D319" s="12" t="n">
        <x:v>50.25</x:v>
      </x:c>
      <x:c r="E319" s="12" t="n">
        <x:v>2.62</x:v>
      </x:c>
      <x:c r="F319" s="12" t="n">
        <x:v>3.3</x:v>
      </x:c>
      <x:c r="G319" t="str">
        <x:v>mixed - markdown primary, PDF filled gaps</x:v>
      </x:c>
    </x:row>
    <x:row r="320">
      <x:c r="A320" t="str">
        <x:v>Lang Tengah</x:v>
      </x:c>
      <x:c r="B320" t="str">
        <x:v>Terengganu</x:v>
      </x:c>
      <x:c r="C320" t="n">
        <x:v>2023</x:v>
      </x:c>
      <x:c r="D320" s="12" t="n">
        <x:v>55.48</x:v>
      </x:c>
      <x:c r="E320" s="12" t="n">
        <x:v>9.39</x:v>
      </x:c>
      <x:c r="F320" s="12" t="n">
        <x:v>3.3</x:v>
      </x:c>
      <x:c r="G320" t="str">
        <x:v>PDF geometry only - not cross-checked</x:v>
      </x:c>
    </x:row>
    <x:row r="321">
      <x:c r="A321" t="str">
        <x:v>Perhentian</x:v>
      </x:c>
      <x:c r="B321" t="str">
        <x:v>Terengganu</x:v>
      </x:c>
      <x:c r="C321" t="n">
        <x:v>2023</x:v>
      </x:c>
      <x:c r="D321" s="12" t="n">
        <x:v>40.25</x:v>
      </x:c>
      <x:c r="E321" s="12" t="n">
        <x:v>-1.06</x:v>
      </x:c>
      <x:c r="F321" s="12" t="n">
        <x:v>3.3</x:v>
      </x:c>
      <x:c r="G321" t="str">
        <x:v>mixed - markdown primary, PDF filled gaps</x:v>
      </x:c>
    </x:row>
    <x:row r="322">
      <x:c r="A322" t="str">
        <x:v>Redang</x:v>
      </x:c>
      <x:c r="B322" t="str">
        <x:v>Terengganu</x:v>
      </x:c>
      <x:c r="C322" t="n">
        <x:v>2023</x:v>
      </x:c>
      <x:c r="D322" s="12" t="n">
        <x:v>34.31</x:v>
      </x:c>
      <x:c r="E322" s="12" t="n">
        <x:v>-13.97</x:v>
      </x:c>
      <x:c r="F322" s="12" t="n">
        <x:v>3.3</x:v>
      </x:c>
      <x:c r="G322" t="str">
        <x:v>PDF geometry only - not cross-checked</x:v>
      </x:c>
    </x:row>
    <x:row r="323">
      <x:c r="A323" t="str">
        <x:v>Rhu</x:v>
      </x:c>
      <x:c r="B323" t="str">
        <x:v>Terengganu</x:v>
      </x:c>
      <x:c r="C323" t="n">
        <x:v>2023</x:v>
      </x:c>
      <x:c r="D323" s="12" t="n">
        <x:v>30.63</x:v>
      </x:c>
      <x:c r="E323" s="12" t="n">
        <x:v>-12.81</x:v>
      </x:c>
      <x:c r="F323" s="12" t="n">
        <x:v>3.3</x:v>
      </x:c>
      <x:c r="G323" t="str">
        <x:v>mixed - markdown primary, PDF filled gaps</x:v>
      </x:c>
    </x:row>
    <x:row r="324">
      <x:c r="A324" t="str">
        <x:v>Tenggol</x:v>
      </x:c>
      <x:c r="B324" t="str">
        <x:v>Terengganu</x:v>
      </x:c>
      <x:c r="C324" t="n">
        <x:v>2023</x:v>
      </x:c>
      <x:c r="D324" s="12" t="n">
        <x:v>46.67</x:v>
      </x:c>
      <x:c r="E324" s="12" t="n">
        <x:v>-4.77</x:v>
      </x:c>
      <x:c r="F324" s="12" t="n">
        <x:v>3.3</x:v>
      </x:c>
      <x:c r="G324" t="str">
        <x:v>mixed - markdown primary, PDF filled gaps</x:v>
      </x:c>
    </x:row>
    <x:row r="325">
      <x:c r="A325" t="str">
        <x:v>Aur &amp; Dayang</x:v>
      </x:c>
      <x:c r="B325" t="str">
        <x:v>Johor</x:v>
      </x:c>
      <x:c r="C325" t="n">
        <x:v>2024</x:v>
      </x:c>
      <x:c r="D325" s="12" t="n">
        <x:v>38.03</x:v>
      </x:c>
      <x:c r="E325" s="12" t="n">
        <x:v>2.82</x:v>
      </x:c>
      <x:c r="F325" s="12" t="n">
        <x:v>9.44</x:v>
      </x:c>
      <x:c r="G325" t="str">
        <x:v>PDF geometry only - not cross-checked</x:v>
      </x:c>
    </x:row>
    <x:row r="326">
      <x:c r="A326" t="str">
        <x:v>Besar</x:v>
      </x:c>
      <x:c r="B326" t="str">
        <x:v>Johor</x:v>
      </x:c>
      <x:c r="C326" t="n">
        <x:v>2024</x:v>
      </x:c>
      <x:c r="D326" s="12" t="n">
        <x:v>42.41</x:v>
      </x:c>
      <x:c r="E326" s="12" t="n">
        <x:v>-8.22</x:v>
      </x:c>
      <x:c r="F326" s="12" t="n">
        <x:v>9.44</x:v>
      </x:c>
      <x:c r="G326" t="str">
        <x:v>mixed - markdown primary, PDF filled gaps</x:v>
      </x:c>
    </x:row>
    <x:row r="327">
      <x:c r="A327" t="str">
        <x:v>Gual</x:v>
      </x:c>
      <x:c r="B327" t="str">
        <x:v>Johor</x:v>
      </x:c>
      <x:c r="C327" t="n">
        <x:v>2024</x:v>
      </x:c>
      <x:c r="D327" s="12" t="n">
        <x:v>55.76</x:v>
      </x:c>
      <x:c r="E327" s="12" t="n">
        <x:v>1.52</x:v>
      </x:c>
      <x:c r="F327" s="12" t="n">
        <x:v>9.44</x:v>
      </x:c>
      <x:c r="G327" t="str">
        <x:v>mixed - markdown primary, PDF filled gaps</x:v>
      </x:c>
    </x:row>
    <x:row r="328">
      <x:c r="A328" t="str">
        <x:v>Harimau</x:v>
      </x:c>
      <x:c r="B328" t="str">
        <x:v>Johor</x:v>
      </x:c>
      <x:c r="C328" t="n">
        <x:v>2024</x:v>
      </x:c>
      <x:c r="D328" s="12" t="n">
        <x:v>60.27</x:v>
      </x:c>
      <x:c r="E328" s="12" t="n">
        <x:v>-3.84</x:v>
      </x:c>
      <x:c r="F328" s="12" t="n">
        <x:v>9.44</x:v>
      </x:c>
      <x:c r="G328" t="str">
        <x:v>mixed - markdown primary, PDF filled gaps</x:v>
      </x:c>
    </x:row>
    <x:row r="329">
      <x:c r="A329" t="str">
        <x:v>Hujung</x:v>
      </x:c>
      <x:c r="B329" t="str">
        <x:v>Johor</x:v>
      </x:c>
      <x:c r="C329" t="n">
        <x:v>2024</x:v>
      </x:c>
      <x:c r="D329" s="12" t="n">
        <x:v>46.6</x:v>
      </x:c>
      <x:c r="E329" s="12" t="n">
        <x:v>-9.23</x:v>
      </x:c>
      <x:c r="F329" s="12" t="n">
        <x:v>9.44</x:v>
      </x:c>
      <x:c r="G329" t="str">
        <x:v>mixed - markdown primary, PDF filled gaps</x:v>
      </x:c>
    </x:row>
    <x:row r="330">
      <x:c r="A330" t="str">
        <x:v>Lima</x:v>
      </x:c>
      <x:c r="B330" t="str">
        <x:v>Johor</x:v>
      </x:c>
      <x:c r="C330" t="n">
        <x:v>2024</x:v>
      </x:c>
      <x:c r="D330" s="12" t="n">
        <x:v>62.28</x:v>
      </x:c>
      <x:c r="E330" s="12" t="n">
        <x:v>-0.64</x:v>
      </x:c>
      <x:c r="F330" s="12" t="n">
        <x:v>9.44</x:v>
      </x:c>
      <x:c r="G330" t="str">
        <x:v>PDF geometry only - not cross-checked</x:v>
      </x:c>
    </x:row>
    <x:row r="331">
      <x:c r="A331" t="str">
        <x:v>Mensirip</x:v>
      </x:c>
      <x:c r="B331" t="str">
        <x:v>Johor</x:v>
      </x:c>
      <x:c r="C331" t="n">
        <x:v>2024</x:v>
      </x:c>
      <x:c r="D331" s="12" t="n">
        <x:v>58.83</x:v>
      </x:c>
      <x:c r="E331" s="12" t="n">
        <x:v>-9.29</x:v>
      </x:c>
      <x:c r="F331" s="12" t="n">
        <x:v>9.44</x:v>
      </x:c>
      <x:c r="G331" t="str">
        <x:v>PDF geometry only - not cross-checked</x:v>
      </x:c>
    </x:row>
    <x:row r="332">
      <x:c r="A332" t="str">
        <x:v>Mertang</x:v>
      </x:c>
      <x:c r="B332" t="str">
        <x:v>Johor</x:v>
      </x:c>
      <x:c r="C332" t="n">
        <x:v>2024</x:v>
      </x:c>
      <x:c r="D332" s="12" t="n">
        <x:v>69.58</x:v>
      </x:c>
      <x:c r="E332" s="12" t="n">
        <x:v>1.04</x:v>
      </x:c>
      <x:c r="F332" s="12" t="n">
        <x:v>9.44</x:v>
      </x:c>
      <x:c r="G332" t="str">
        <x:v>mixed - markdown primary, PDF filled gaps</x:v>
      </x:c>
    </x:row>
    <x:row r="333">
      <x:c r="A333" t="str">
        <x:v>Pemanggil</x:v>
      </x:c>
      <x:c r="B333" t="str">
        <x:v>Johor</x:v>
      </x:c>
      <x:c r="C333" t="n">
        <x:v>2024</x:v>
      </x:c>
      <x:c r="D333" s="12" t="n">
        <x:v>47.5</x:v>
      </x:c>
      <x:c r="E333" s="12" t="n">
        <x:v>1.25</x:v>
      </x:c>
      <x:c r="F333" s="12" t="n">
        <x:v>9.44</x:v>
      </x:c>
      <x:c r="G333" t="str">
        <x:v>PDF geometry only - not cross-checked</x:v>
      </x:c>
    </x:row>
    <x:row r="334">
      <x:c r="A334" t="str">
        <x:v>Rawa</x:v>
      </x:c>
      <x:c r="B334" t="str">
        <x:v>Johor</x:v>
      </x:c>
      <x:c r="C334" t="n">
        <x:v>2024</x:v>
      </x:c>
      <x:c r="D334" s="12" t="n">
        <x:v>56.53</x:v>
      </x:c>
      <x:c r="E334" s="12" t="n">
        <x:v>-2.78</x:v>
      </x:c>
      <x:c r="F334" s="12" t="n">
        <x:v>9.44</x:v>
      </x:c>
      <x:c r="G334" t="str">
        <x:v>mixed - markdown primary, PDF filled gaps</x:v>
      </x:c>
    </x:row>
    <x:row r="335">
      <x:c r="A335" t="str">
        <x:v>Sibu</x:v>
      </x:c>
      <x:c r="B335" t="str">
        <x:v>Johor</x:v>
      </x:c>
      <x:c r="C335" t="n">
        <x:v>2024</x:v>
      </x:c>
      <x:c r="D335" s="12" t="n">
        <x:v>50.73</x:v>
      </x:c>
      <x:c r="E335" s="12" t="n">
        <x:v>-6.87</x:v>
      </x:c>
      <x:c r="F335" s="12" t="n">
        <x:v>9.44</x:v>
      </x:c>
      <x:c r="G335" t="str">
        <x:v>mixed - markdown primary, PDF filled gaps</x:v>
      </x:c>
    </x:row>
    <x:row r="336">
      <x:c r="A336" t="str">
        <x:v>Tengah</x:v>
      </x:c>
      <x:c r="B336" t="str">
        <x:v>Johor</x:v>
      </x:c>
      <x:c r="C336" t="n">
        <x:v>2024</x:v>
      </x:c>
      <x:c r="D336" s="12" t="n">
        <x:v>47.95</x:v>
      </x:c>
      <x:c r="E336" s="12" t="n">
        <x:v>-0.74</x:v>
      </x:c>
      <x:c r="F336" s="12" t="n">
        <x:v>9.44</x:v>
      </x:c>
      <x:c r="G336" t="str">
        <x:v>mixed - markdown primary, PDF filled gaps</x:v>
      </x:c>
    </x:row>
    <x:row r="337">
      <x:c r="A337" t="str">
        <x:v>Tinggi</x:v>
      </x:c>
      <x:c r="B337" t="str">
        <x:v>Johor</x:v>
      </x:c>
      <x:c r="C337" t="n">
        <x:v>2024</x:v>
      </x:c>
      <x:c r="D337" s="12" t="n">
        <x:v>56.72</x:v>
      </x:c>
      <x:c r="E337" s="12" t="n">
        <x:v>6.72</x:v>
      </x:c>
      <x:c r="F337" s="12" t="n">
        <x:v>9.44</x:v>
      </x:c>
      <x:c r="G337" t="str">
        <x:v>mixed - markdown primary, PDF filled gaps</x:v>
      </x:c>
    </x:row>
    <x:row r="338">
      <x:c r="A338" t="str">
        <x:v>Payar</x:v>
      </x:c>
      <x:c r="B338" t="str">
        <x:v>Kedah</x:v>
      </x:c>
      <x:c r="C338" t="n">
        <x:v>2024</x:v>
      </x:c>
      <x:c r="D338" s="12" t="n">
        <x:v>49.13</x:v>
      </x:c>
      <x:c r="E338" s="12" t="n">
        <x:v>-14.87</x:v>
      </x:c>
      <x:c r="F338" s="12" t="n">
        <x:v>13.64</x:v>
      </x:c>
      <x:c r="G338" t="str">
        <x:v>mixed - markdown primary, PDF filled gaps</x:v>
      </x:c>
    </x:row>
    <x:row r="339">
      <x:c r="A339" t="str">
        <x:v>Malacca</x:v>
      </x:c>
      <x:c r="B339" t="str">
        <x:v>Malacca</x:v>
      </x:c>
      <x:c r="C339" t="n">
        <x:v>2024</x:v>
      </x:c>
      <x:c r="D339" s="12" t="n">
        <x:v>33.16</x:v>
      </x:c>
      <x:c r="E339" s="12" t="n">
        <x:v>-1.45</x:v>
      </x:c>
      <x:c r="F339" s="12" t="n">
        <x:v>15.12</x:v>
      </x:c>
      <x:c r="G339" t="str">
        <x:v>PDF geometry only - not cross-checked</x:v>
      </x:c>
    </x:row>
    <x:row r="340">
      <x:c r="A340" t="str">
        <x:v>Port Dickson</x:v>
      </x:c>
      <x:c r="B340" t="str">
        <x:v>Negeri Sembilan</x:v>
      </x:c>
      <x:c r="C340" t="n">
        <x:v>2024</x:v>
      </x:c>
      <x:c r="D340" s="12" t="n">
        <x:v>42.51</x:v>
      </x:c>
      <x:c r="E340" s="12" t="n">
        <x:v>-3.43</x:v>
      </x:c>
      <x:c r="F340" s="12" t="n">
        <x:v>15.12</x:v>
      </x:c>
      <x:c r="G340" t="str">
        <x:v>PDF geometry only - not cross-checked</x:v>
      </x:c>
    </x:row>
    <x:row r="341">
      <x:c r="A341" t="str">
        <x:v>Seri Buat</x:v>
      </x:c>
      <x:c r="B341" t="str">
        <x:v>Pahang</x:v>
      </x:c>
      <x:c r="C341" t="n">
        <x:v>2024</x:v>
      </x:c>
      <x:c r="D341" s="12" t="n">
        <x:v>62.06</x:v>
      </x:c>
      <x:c r="E341" s="12" t="n">
        <x:v>-1.67</x:v>
      </x:c>
      <x:c r="F341" s="12" t="n">
        <x:v>15.12</x:v>
      </x:c>
      <x:c r="G341" t="str">
        <x:v>PDF geometry only - not cross-checked</x:v>
      </x:c>
    </x:row>
    <x:row r="342">
      <x:c r="A342" t="str">
        <x:v>Tioman</x:v>
      </x:c>
      <x:c r="B342" t="str">
        <x:v>Pahang</x:v>
      </x:c>
      <x:c r="C342" t="n">
        <x:v>2024</x:v>
      </x:c>
      <x:c r="D342" s="12" t="n">
        <x:v>58.29</x:v>
      </x:c>
      <x:c r="E342" s="12" t="n">
        <x:v>-6.33</x:v>
      </x:c>
      <x:c r="F342" s="12" t="n">
        <x:v>9.44</x:v>
      </x:c>
      <x:c r="G342" t="str">
        <x:v>PDF geometry only - not cross-checked</x:v>
      </x:c>
    </x:row>
    <x:row r="343">
      <x:c r="A343" t="str">
        <x:v>Pangkor Laut</x:v>
      </x:c>
      <x:c r="B343" t="str">
        <x:v>Perak</x:v>
      </x:c>
      <x:c r="C343" t="n">
        <x:v>2024</x:v>
      </x:c>
      <x:c r="D343" s="12" t="n">
        <x:v>51.89</x:v>
      </x:c>
      <x:c r="E343" s="12" t="n">
        <x:v>-1.86</x:v>
      </x:c>
      <x:c r="F343" s="12" t="n">
        <x:v>13.64</x:v>
      </x:c>
      <x:c r="G343" t="str">
        <x:v>PDF geometry only - not cross-checked</x:v>
      </x:c>
    </x:row>
    <x:row r="344">
      <x:c r="A344" t="str">
        <x:v>Sembilan</x:v>
      </x:c>
      <x:c r="B344" t="str">
        <x:v>Perak</x:v>
      </x:c>
      <x:c r="C344" t="n">
        <x:v>2024</x:v>
      </x:c>
      <x:c r="D344" s="12" t="n">
        <x:v>27.99</x:v>
      </x:c>
      <x:c r="E344" s="12" t="n">
        <x:v>-0.97</x:v>
      </x:c>
      <x:c r="F344" s="12" t="n">
        <x:v>13.64</x:v>
      </x:c>
      <x:c r="G344" t="str">
        <x:v>mixed - markdown primary, PDF filled gaps</x:v>
      </x:c>
    </x:row>
    <x:row r="345">
      <x:c r="A345" t="str">
        <x:v>Kapalai</x:v>
      </x:c>
      <x:c r="B345" t="str">
        <x:v>Sabah</x:v>
      </x:c>
      <x:c r="C345" t="n">
        <x:v>2024</x:v>
      </x:c>
      <x:c r="D345" s="12" t="n">
        <x:v>20.5</x:v>
      </x:c>
      <x:c r="E345" s="12" t="n">
        <x:v>-0.65</x:v>
      </x:c>
      <x:c r="F345" s="12" t="n">
        <x:v>11.4</x:v>
      </x:c>
      <x:c r="G345" t="str">
        <x:v>mixed - markdown primary, PDF filled gaps</x:v>
      </x:c>
    </x:row>
    <x:row r="346">
      <x:c r="A346" t="str">
        <x:v>Lahad Datu</x:v>
      </x:c>
      <x:c r="B346" t="str">
        <x:v>Sabah</x:v>
      </x:c>
      <x:c r="C346" t="n">
        <x:v>2024</x:v>
      </x:c>
      <x:c r="D346" s="12" t="n">
        <x:v>35.69</x:v>
      </x:c>
      <x:c r="E346" s="12" t="n">
        <x:v>0.44</x:v>
      </x:c>
      <x:c r="F346" s="12" t="n">
        <x:v>11.4</x:v>
      </x:c>
      <x:c r="G346" t="str">
        <x:v>mixed - markdown primary, PDF filled gaps</x:v>
      </x:c>
    </x:row>
    <x:row r="347">
      <x:c r="A347" t="str">
        <x:v>Lankayan</x:v>
      </x:c>
      <x:c r="B347" t="str">
        <x:v>Sabah</x:v>
      </x:c>
      <x:c r="C347" t="n">
        <x:v>2024</x:v>
      </x:c>
      <x:c r="D347" s="12" t="n">
        <x:v>49.53</x:v>
      </x:c>
      <x:c r="E347" s="12" t="n">
        <x:v>1.95</x:v>
      </x:c>
      <x:c r="F347" s="12" t="n">
        <x:v>11.4</x:v>
      </x:c>
      <x:c r="G347" t="str">
        <x:v>mixed - markdown primary, PDF filled gaps</x:v>
      </x:c>
    </x:row>
    <x:row r="348">
      <x:c r="A348" t="str">
        <x:v>Larapan</x:v>
      </x:c>
      <x:c r="B348" t="str">
        <x:v>Sabah</x:v>
      </x:c>
      <x:c r="C348" t="n">
        <x:v>2024</x:v>
      </x:c>
      <x:c r="D348" s="12" t="n">
        <x:v>58.5</x:v>
      </x:c>
      <x:c r="E348" s="12" t="n">
        <x:v>2.12</x:v>
      </x:c>
      <x:c r="F348" s="12" t="n">
        <x:v>11.4</x:v>
      </x:c>
      <x:c r="G348" t="str">
        <x:v>mixed - markdown primary, PDF filled gaps</x:v>
      </x:c>
    </x:row>
    <x:row r="349">
      <x:c r="A349" t="str">
        <x:v>Mabul</x:v>
      </x:c>
      <x:c r="B349" t="str">
        <x:v>Sabah</x:v>
      </x:c>
      <x:c r="C349" t="n">
        <x:v>2024</x:v>
      </x:c>
      <x:c r="D349" s="12" t="n">
        <x:v>22.29</x:v>
      </x:c>
      <x:c r="E349" s="12" t="n">
        <x:v>-0.72</x:v>
      </x:c>
      <x:c r="F349" s="12" t="n">
        <x:v>11.4</x:v>
      </x:c>
      <x:c r="G349" t="str">
        <x:v>mixed - markdown primary, PDF filled gaps</x:v>
      </x:c>
    </x:row>
    <x:row r="350">
      <x:c r="A350" t="str">
        <x:v>Mantanani</x:v>
      </x:c>
      <x:c r="B350" t="str">
        <x:v>Sabah</x:v>
      </x:c>
      <x:c r="C350" t="n">
        <x:v>2024</x:v>
      </x:c>
      <x:c r="D350" s="12" t="n">
        <x:v>32.84</x:v>
      </x:c>
      <x:c r="E350" s="12" t="n">
        <x:v>1.9</x:v>
      </x:c>
      <x:c r="F350" s="12" t="n">
        <x:v>11.4</x:v>
      </x:c>
      <x:c r="G350" t="str">
        <x:v>PDF geometry only - not cross-checked</x:v>
      </x:c>
    </x:row>
    <x:row r="351">
      <x:c r="A351" t="str">
        <x:v>Mataking</x:v>
      </x:c>
      <x:c r="B351" t="str">
        <x:v>Sabah</x:v>
      </x:c>
      <x:c r="C351" t="n">
        <x:v>2024</x:v>
      </x:c>
      <x:c r="D351" s="12" t="n">
        <x:v>26.89</x:v>
      </x:c>
      <x:c r="E351" s="12" t="n">
        <x:v>-9.69</x:v>
      </x:c>
      <x:c r="F351" s="12" t="n">
        <x:v>11.4</x:v>
      </x:c>
      <x:c r="G351" t="str">
        <x:v>PDF geometry only - not cross-checked</x:v>
      </x:c>
    </x:row>
    <x:row r="352">
      <x:c r="A352" t="str">
        <x:v>Penyu</x:v>
      </x:c>
      <x:c r="B352" t="str">
        <x:v>Sabah</x:v>
      </x:c>
      <x:c r="C352" t="n">
        <x:v>2024</x:v>
      </x:c>
      <x:c r="D352" s="12" t="n">
        <x:v>39.3</x:v>
      </x:c>
      <x:c r="E352" s="12" t="n">
        <x:v>6.88</x:v>
      </x:c>
      <x:c r="F352" s="12" t="n">
        <x:v>11.4</x:v>
      </x:c>
      <x:c r="G352" t="str">
        <x:v>PDF geometry only - not cross-checked</x:v>
      </x:c>
    </x:row>
    <x:row r="353">
      <x:c r="A353" t="str">
        <x:v>Sipadan</x:v>
      </x:c>
      <x:c r="B353" t="str">
        <x:v>Sabah</x:v>
      </x:c>
      <x:c r="C353" t="n">
        <x:v>2024</x:v>
      </x:c>
      <x:c r="D353" s="12" t="n">
        <x:v>63.29</x:v>
      </x:c>
      <x:c r="E353" s="12" t="n">
        <x:v>6.41</x:v>
      </x:c>
      <x:c r="F353" s="12" t="n">
        <x:v>11.4</x:v>
      </x:c>
      <x:c r="G353" t="str">
        <x:v>PDF geometry only - not cross-checked</x:v>
      </x:c>
    </x:row>
    <x:row r="354">
      <x:c r="A354" t="str">
        <x:v>Tiga</x:v>
      </x:c>
      <x:c r="B354" t="str">
        <x:v>Sabah</x:v>
      </x:c>
      <x:c r="C354" t="n">
        <x:v>2024</x:v>
      </x:c>
      <x:c r="D354" s="12" t="n">
        <x:v>22.67</x:v>
      </x:c>
      <x:c r="E354" s="12" t="n">
        <x:v>-10.72</x:v>
      </x:c>
      <x:c r="F354" s="12" t="n">
        <x:v>11.4</x:v>
      </x:c>
      <x:c r="G354" t="str">
        <x:v>PDF geometry only - not cross-checked</x:v>
      </x:c>
    </x:row>
    <x:row r="355">
      <x:c r="A355" t="str">
        <x:v>Tun Mustapha Park</x:v>
      </x:c>
      <x:c r="B355" t="str">
        <x:v>Sabah</x:v>
      </x:c>
      <x:c r="C355" t="n">
        <x:v>2024</x:v>
      </x:c>
      <x:c r="D355" s="12" t="n">
        <x:v>44.83</x:v>
      </x:c>
      <x:c r="E355" s="12" t="n">
        <x:v>2.64</x:v>
      </x:c>
      <x:c r="F355" s="12" t="n">
        <x:v>11.4</x:v>
      </x:c>
      <x:c r="G355" t="str">
        <x:v>mixed - markdown primary, PDF filled gaps</x:v>
      </x:c>
    </x:row>
    <x:row r="356">
      <x:c r="A356" t="str">
        <x:v>Tun Sakaran Marine Park</x:v>
      </x:c>
      <x:c r="B356" t="str">
        <x:v>Sabah</x:v>
      </x:c>
      <x:c r="C356" t="n">
        <x:v>2024</x:v>
      </x:c>
      <x:c r="D356" s="12" t="n">
        <x:v>55.78</x:v>
      </x:c>
      <x:c r="E356" s="12" t="n">
        <x:v>9.95</x:v>
      </x:c>
      <x:c r="F356" s="12" t="n">
        <x:v>11.4</x:v>
      </x:c>
      <x:c r="G356" t="str">
        <x:v>mixed - markdown primary, PDF filled gaps</x:v>
      </x:c>
    </x:row>
    <x:row r="357">
      <x:c r="A357" t="str">
        <x:v>Tunku Abdul Rahman Park</x:v>
      </x:c>
      <x:c r="B357" t="str">
        <x:v>Sabah</x:v>
      </x:c>
      <x:c r="C357" t="n">
        <x:v>2024</x:v>
      </x:c>
      <x:c r="D357" s="12" t="n">
        <x:v>13.98</x:v>
      </x:c>
      <x:c r="E357" s="12" t="n">
        <x:v>-7.11</x:v>
      </x:c>
      <x:c r="F357" s="12" t="n">
        <x:v>11.4</x:v>
      </x:c>
      <x:c r="G357" t="str">
        <x:v>PDF geometry only - not cross-checked</x:v>
      </x:c>
    </x:row>
    <x:row r="358">
      <x:c r="A358" t="str">
        <x:v>Usukan Cove</x:v>
      </x:c>
      <x:c r="B358" t="str">
        <x:v>Sabah</x:v>
      </x:c>
      <x:c r="C358" t="n">
        <x:v>2024</x:v>
      </x:c>
      <x:c r="D358" s="12" t="n">
        <x:v>32.44</x:v>
      </x:c>
      <x:c r="E358" s="12" t="n">
        <x:v>6.71</x:v>
      </x:c>
      <x:c r="F358" s="12" t="n">
        <x:v>11.4</x:v>
      </x:c>
      <x:c r="G358" t="str">
        <x:v>PDF geometry only - not cross-checked</x:v>
      </x:c>
    </x:row>
    <x:row r="359">
      <x:c r="A359" t="str">
        <x:v>Bidong &amp; Yu</x:v>
      </x:c>
      <x:c r="B359" t="str">
        <x:v>Terengganu</x:v>
      </x:c>
      <x:c r="C359" t="n">
        <x:v>2024</x:v>
      </x:c>
      <x:c r="D359" s="12" t="n">
        <x:v>59.27</x:v>
      </x:c>
      <x:c r="E359" s="12" t="n">
        <x:v>-8.34</x:v>
      </x:c>
      <x:c r="F359" s="12" t="n">
        <x:v>15.12</x:v>
      </x:c>
      <x:c r="G359" t="str">
        <x:v>mixed - markdown primary, PDF filled gaps</x:v>
      </x:c>
    </x:row>
    <x:row r="360">
      <x:c r="A360" t="str">
        <x:v>Kapas</x:v>
      </x:c>
      <x:c r="B360" t="str">
        <x:v>Terengganu</x:v>
      </x:c>
      <x:c r="C360" t="n">
        <x:v>2024</x:v>
      </x:c>
      <x:c r="D360" s="12" t="n">
        <x:v>47.52</x:v>
      </x:c>
      <x:c r="E360" s="12" t="n">
        <x:v>-2.73</x:v>
      </x:c>
      <x:c r="F360" s="12" t="n">
        <x:v>15.12</x:v>
      </x:c>
      <x:c r="G360" t="str">
        <x:v>PDF geometry only - not cross-checked</x:v>
      </x:c>
    </x:row>
    <x:row r="361">
      <x:c r="A361" t="str">
        <x:v>Lang Tengah</x:v>
      </x:c>
      <x:c r="B361" t="str">
        <x:v>Terengganu</x:v>
      </x:c>
      <x:c r="C361" t="n">
        <x:v>2024</x:v>
      </x:c>
      <x:c r="D361" s="12" t="n">
        <x:v>36.71</x:v>
      </x:c>
      <x:c r="E361" s="12" t="n">
        <x:v>-18.77</x:v>
      </x:c>
      <x:c r="F361" s="12" t="n">
        <x:v>15.12</x:v>
      </x:c>
      <x:c r="G361" t="str">
        <x:v>PDF geometry only - not cross-checked</x:v>
      </x:c>
    </x:row>
    <x:row r="362">
      <x:c r="A362" t="str">
        <x:v>Perhentian</x:v>
      </x:c>
      <x:c r="B362" t="str">
        <x:v>Terengganu</x:v>
      </x:c>
      <x:c r="C362" t="n">
        <x:v>2024</x:v>
      </x:c>
      <x:c r="D362" s="12" t="n">
        <x:v>39.19</x:v>
      </x:c>
      <x:c r="E362" s="12" t="n">
        <x:v>-1.06</x:v>
      </x:c>
      <x:c r="F362" s="12" t="n">
        <x:v>15.12</x:v>
      </x:c>
      <x:c r="G362" t="str">
        <x:v>mixed - markdown primary, PDF filled gaps</x:v>
      </x:c>
    </x:row>
    <x:row r="363">
      <x:c r="A363" t="str">
        <x:v>Redang</x:v>
      </x:c>
      <x:c r="B363" t="str">
        <x:v>Terengganu</x:v>
      </x:c>
      <x:c r="C363" t="n">
        <x:v>2024</x:v>
      </x:c>
      <x:c r="D363" s="12" t="n">
        <x:v>29.17</x:v>
      </x:c>
      <x:c r="E363" s="12" t="n">
        <x:v>-5.14</x:v>
      </x:c>
      <x:c r="F363" s="12" t="n">
        <x:v>15.12</x:v>
      </x:c>
      <x:c r="G363" t="str">
        <x:v>mixed - markdown primary, PDF filled gaps</x:v>
      </x:c>
    </x:row>
    <x:row r="364">
      <x:c r="A364" t="str">
        <x:v>Rhu</x:v>
      </x:c>
      <x:c r="B364" t="str">
        <x:v>Terengganu</x:v>
      </x:c>
      <x:c r="C364" t="n">
        <x:v>2024</x:v>
      </x:c>
      <x:c r="D364" s="12" t="n">
        <x:v>28.29</x:v>
      </x:c>
      <x:c r="E364" s="12" t="n">
        <x:v>-2.34</x:v>
      </x:c>
      <x:c r="F364" s="12" t="n">
        <x:v>15.12</x:v>
      </x:c>
      <x:c r="G364" t="str">
        <x:v>PDF geometry only - not cross-checked</x:v>
      </x:c>
    </x:row>
    <x:row r="365">
      <x:c r="A365" t="str">
        <x:v>Tenggol</x:v>
      </x:c>
      <x:c r="B365" t="str">
        <x:v>Terengganu</x:v>
      </x:c>
      <x:c r="C365" t="n">
        <x:v>2024</x:v>
      </x:c>
      <x:c r="D365" s="12" t="n">
        <x:v>57.08</x:v>
      </x:c>
      <x:c r="E365" s="12" t="n">
        <x:v>10.41</x:v>
      </x:c>
      <x:c r="F365" s="12" t="n">
        <x:v>15.12</x:v>
      </x:c>
      <x:c r="G365" t="str">
        <x:v>mixed - markdown primary, PDF filled gaps</x:v>
      </x:c>
    </x:row>
    <x:row r="366">
      <x:c r="A366" t="str">
        <x:v>Aur &amp; Dayang</x:v>
      </x:c>
      <x:c r="B366" t="str">
        <x:v>Johor</x:v>
      </x:c>
      <x:c r="C366" t="n">
        <x:v>2025</x:v>
      </x:c>
      <x:c r="D366" s="12" t="n">
        <x:v>35.42</x:v>
      </x:c>
      <x:c r="E366" s="12" t="n">
        <x:v>-2.61</x:v>
      </x:c>
      <x:c r="F366" s="12" t="n">
        <x:v>1.88</x:v>
      </x:c>
      <x:c r="G366" t="str">
        <x:v>PDF geometry only - not cross-checked</x:v>
      </x:c>
    </x:row>
    <x:row r="367">
      <x:c r="A367" t="str">
        <x:v>Besar</x:v>
      </x:c>
      <x:c r="B367" t="str">
        <x:v>Johor</x:v>
      </x:c>
      <x:c r="C367" t="n">
        <x:v>2025</x:v>
      </x:c>
      <x:c r="D367" s="12" t="n">
        <x:v>43.04</x:v>
      </x:c>
      <x:c r="E367" s="12" t="n">
        <x:v>0.63</x:v>
      </x:c>
      <x:c r="F367" s="12" t="n">
        <x:v>1.88</x:v>
      </x:c>
      <x:c r="G367" t="str">
        <x:v>mixed - markdown primary, PDF filled gaps</x:v>
      </x:c>
    </x:row>
    <x:row r="368">
      <x:c r="A368" t="str">
        <x:v>Gual</x:v>
      </x:c>
      <x:c r="B368" t="str">
        <x:v>Johor</x:v>
      </x:c>
      <x:c r="C368" t="n">
        <x:v>2025</x:v>
      </x:c>
      <x:c r="D368" s="12" t="n">
        <x:v>45.31</x:v>
      </x:c>
      <x:c r="E368" s="12" t="n">
        <x:v>-10.45</x:v>
      </x:c>
      <x:c r="F368" s="12" t="n">
        <x:v>1.88</x:v>
      </x:c>
      <x:c r="G368" t="str">
        <x:v>mixed - markdown primary, PDF filled gaps</x:v>
      </x:c>
    </x:row>
    <x:row r="369">
      <x:c r="A369" t="str">
        <x:v>Harimau</x:v>
      </x:c>
      <x:c r="B369" t="str">
        <x:v>Johor</x:v>
      </x:c>
      <x:c r="C369" t="n">
        <x:v>2025</x:v>
      </x:c>
      <x:c r="D369" s="12" t="n">
        <x:v>48.96</x:v>
      </x:c>
      <x:c r="E369" s="12" t="n">
        <x:v>-11.31</x:v>
      </x:c>
      <x:c r="F369" s="12" t="n">
        <x:v>1.88</x:v>
      </x:c>
      <x:c r="G369" t="str">
        <x:v>mixed - markdown primary, PDF filled gaps</x:v>
      </x:c>
    </x:row>
    <x:row r="370">
      <x:c r="A370" t="str">
        <x:v>Hujung</x:v>
      </x:c>
      <x:c r="B370" t="str">
        <x:v>Johor</x:v>
      </x:c>
      <x:c r="C370" t="n">
        <x:v>2025</x:v>
      </x:c>
      <x:c r="D370" s="12" t="n">
        <x:v>41.77</x:v>
      </x:c>
      <x:c r="E370" s="12" t="n">
        <x:v>-4.83</x:v>
      </x:c>
      <x:c r="F370" s="12" t="n">
        <x:v>1.88</x:v>
      </x:c>
      <x:c r="G370" t="str">
        <x:v>mixed - markdown primary, PDF filled gaps</x:v>
      </x:c>
    </x:row>
    <x:row r="371">
      <x:c r="A371" t="str">
        <x:v>Lima</x:v>
      </x:c>
      <x:c r="B371" t="str">
        <x:v>Johor</x:v>
      </x:c>
      <x:c r="C371" t="n">
        <x:v>2025</x:v>
      </x:c>
      <x:c r="D371" s="12" t="n">
        <x:v>51.88</x:v>
      </x:c>
      <x:c r="E371" s="12" t="n">
        <x:v>-10.4</x:v>
      </x:c>
      <x:c r="F371" s="12" t="n">
        <x:v>1.88</x:v>
      </x:c>
      <x:c r="G371" t="str">
        <x:v>mixed - markdown primary, PDF filled gaps</x:v>
      </x:c>
    </x:row>
    <x:row r="372">
      <x:c r="A372" t="str">
        <x:v>Mensirip</x:v>
      </x:c>
      <x:c r="B372" t="str">
        <x:v>Johor</x:v>
      </x:c>
      <x:c r="C372" t="n">
        <x:v>2025</x:v>
      </x:c>
      <x:c r="D372" s="12" t="n">
        <x:v>54.17</x:v>
      </x:c>
      <x:c r="E372" s="12" t="n">
        <x:v>-4.66</x:v>
      </x:c>
      <x:c r="F372" s="12" t="n">
        <x:v>1.88</x:v>
      </x:c>
      <x:c r="G372" t="str">
        <x:v>mixed - markdown primary, PDF filled gaps</x:v>
      </x:c>
    </x:row>
    <x:row r="373">
      <x:c r="A373" t="str">
        <x:v>Mertang</x:v>
      </x:c>
      <x:c r="B373" t="str">
        <x:v>Johor</x:v>
      </x:c>
      <x:c r="C373" t="n">
        <x:v>2025</x:v>
      </x:c>
      <x:c r="D373" s="12" t="n">
        <x:v>58.33</x:v>
      </x:c>
      <x:c r="E373" s="12" t="n">
        <x:v>-11.25</x:v>
      </x:c>
      <x:c r="F373" s="12" t="n">
        <x:v>1.88</x:v>
      </x:c>
      <x:c r="G373" t="str">
        <x:v>mixed - markdown primary, PDF filled gaps</x:v>
      </x:c>
    </x:row>
    <x:row r="374">
      <x:c r="A374" t="str">
        <x:v>Pemanggil</x:v>
      </x:c>
      <x:c r="B374" t="str">
        <x:v>Johor</x:v>
      </x:c>
      <x:c r="C374" t="n">
        <x:v>2025</x:v>
      </x:c>
      <x:c r="D374" s="12" t="n">
        <x:v>43.75</x:v>
      </x:c>
      <x:c r="E374" s="12" t="n">
        <x:v>-3.75</x:v>
      </x:c>
      <x:c r="F374" s="12" t="n">
        <x:v>1.88</x:v>
      </x:c>
      <x:c r="G374" t="str">
        <x:v>mixed - markdown primary, PDF filled gaps</x:v>
      </x:c>
    </x:row>
    <x:row r="375">
      <x:c r="A375" t="str">
        <x:v>Rawa</x:v>
      </x:c>
      <x:c r="B375" t="str">
        <x:v>Johor</x:v>
      </x:c>
      <x:c r="C375" t="n">
        <x:v>2025</x:v>
      </x:c>
      <x:c r="D375" s="12" t="n">
        <x:v>48.85</x:v>
      </x:c>
      <x:c r="E375" s="12" t="n">
        <x:v>-7.68</x:v>
      </x:c>
      <x:c r="F375" s="12" t="n">
        <x:v>1.88</x:v>
      </x:c>
      <x:c r="G375" t="str">
        <x:v>mixed - markdown primary, PDF filled gaps</x:v>
      </x:c>
    </x:row>
    <x:row r="376">
      <x:c r="A376" t="str">
        <x:v>Sibu</x:v>
      </x:c>
      <x:c r="B376" t="str">
        <x:v>Johor</x:v>
      </x:c>
      <x:c r="C376" t="n">
        <x:v>2025</x:v>
      </x:c>
      <x:c r="D376" s="12" t="n">
        <x:v>52.81</x:v>
      </x:c>
      <x:c r="E376" s="12" t="n">
        <x:v>2.08</x:v>
      </x:c>
      <x:c r="F376" s="12" t="n">
        <x:v>1.88</x:v>
      </x:c>
      <x:c r="G376" t="str">
        <x:v>mixed - markdown primary, PDF filled gaps</x:v>
      </x:c>
    </x:row>
    <x:row r="377">
      <x:c r="A377" t="str">
        <x:v>Tengah</x:v>
      </x:c>
      <x:c r="B377" t="str">
        <x:v>Johor</x:v>
      </x:c>
      <x:c r="C377" t="n">
        <x:v>2025</x:v>
      </x:c>
      <x:c r="D377" s="12" t="n">
        <x:v>45.73</x:v>
      </x:c>
      <x:c r="E377" s="12" t="n">
        <x:v>-2.22</x:v>
      </x:c>
      <x:c r="F377" s="12" t="n">
        <x:v>1.88</x:v>
      </x:c>
      <x:c r="G377" t="str">
        <x:v>mixed - markdown primary, PDF filled gaps</x:v>
      </x:c>
    </x:row>
    <x:row r="378">
      <x:c r="A378" t="str">
        <x:v>Tinggi</x:v>
      </x:c>
      <x:c r="B378" t="str">
        <x:v>Johor</x:v>
      </x:c>
      <x:c r="C378" t="n">
        <x:v>2025</x:v>
      </x:c>
      <x:c r="D378" s="12" t="n">
        <x:v>52.5</x:v>
      </x:c>
      <x:c r="E378" s="12" t="n">
        <x:v>-4.22</x:v>
      </x:c>
      <x:c r="F378" s="12" t="n">
        <x:v>1.88</x:v>
      </x:c>
      <x:c r="G378" t="str">
        <x:v>mixed - markdown primary, PDF filled gaps</x:v>
      </x:c>
    </x:row>
    <x:row r="379">
      <x:c r="A379" t="str">
        <x:v>Payar</x:v>
      </x:c>
      <x:c r="B379" t="str">
        <x:v>Kedah</x:v>
      </x:c>
      <x:c r="C379" t="n">
        <x:v>2025</x:v>
      </x:c>
      <x:c r="D379" s="12" t="n">
        <x:v>42.29</x:v>
      </x:c>
      <x:c r="E379" s="12" t="n">
        <x:v>-6.84</x:v>
      </x:c>
      <x:c r="F379" s="12" t="n">
        <x:v>1.94</x:v>
      </x:c>
      <x:c r="G379" t="str">
        <x:v>mixed - markdown primary, PDF filled gaps</x:v>
      </x:c>
    </x:row>
    <x:row r="380">
      <x:c r="A380" t="str">
        <x:v>Malacca</x:v>
      </x:c>
      <x:c r="B380" t="str">
        <x:v>Malacca</x:v>
      </x:c>
      <x:c r="C380" t="n">
        <x:v>2025</x:v>
      </x:c>
      <x:c r="D380" s="12" t="n">
        <x:v>32.12</x:v>
      </x:c>
      <x:c r="E380" s="12" t="n">
        <x:v>-1.04</x:v>
      </x:c>
      <x:c r="F380" s="12" t="n">
        <x:v>2.05</x:v>
      </x:c>
      <x:c r="G380" t="str">
        <x:v>PDF geometry only - not cross-checked</x:v>
      </x:c>
    </x:row>
    <x:row r="381">
      <x:c r="A381" t="str">
        <x:v>Port Dickson</x:v>
      </x:c>
      <x:c r="B381" t="str">
        <x:v>Negeri Sembilan</x:v>
      </x:c>
      <x:c r="C381" t="n">
        <x:v>2025</x:v>
      </x:c>
      <x:c r="D381" s="12" t="n">
        <x:v>35.01</x:v>
      </x:c>
      <x:c r="E381" s="12" t="n">
        <x:v>-7.5</x:v>
      </x:c>
      <x:c r="F381" s="12" t="n">
        <x:v>2.05</x:v>
      </x:c>
      <x:c r="G381" t="str">
        <x:v>PDF geometry only - not cross-checked</x:v>
      </x:c>
    </x:row>
    <x:row r="382">
      <x:c r="A382" t="str">
        <x:v>Seri Buat</x:v>
      </x:c>
      <x:c r="B382" t="str">
        <x:v>Pahang</x:v>
      </x:c>
      <x:c r="C382" t="n">
        <x:v>2025</x:v>
      </x:c>
      <x:c r="D382" s="12" t="n">
        <x:v>54.22</x:v>
      </x:c>
      <x:c r="E382" s="12" t="n">
        <x:v>-7.84</x:v>
      </x:c>
      <x:c r="F382" s="12" t="n">
        <x:v>2.05</x:v>
      </x:c>
      <x:c r="G382" t="str">
        <x:v>mixed - markdown primary, PDF filled gaps</x:v>
      </x:c>
    </x:row>
    <x:row r="383">
      <x:c r="A383" t="str">
        <x:v>Tioman</x:v>
      </x:c>
      <x:c r="B383" t="str">
        <x:v>Pahang</x:v>
      </x:c>
      <x:c r="C383" t="n">
        <x:v>2025</x:v>
      </x:c>
      <x:c r="D383" s="12" t="n">
        <x:v>42.99</x:v>
      </x:c>
      <x:c r="E383" s="12" t="n">
        <x:v>-15.3</x:v>
      </x:c>
      <x:c r="F383" s="12" t="n">
        <x:v>1.88</x:v>
      </x:c>
      <x:c r="G383" t="str">
        <x:v>mixed - markdown primary, PDF filled gaps</x:v>
      </x:c>
    </x:row>
    <x:row r="384">
      <x:c r="A384" t="str">
        <x:v>Kapalai</x:v>
      </x:c>
      <x:c r="B384" t="str">
        <x:v>Sabah</x:v>
      </x:c>
      <x:c r="C384" t="n">
        <x:v>2025</x:v>
      </x:c>
      <x:c r="D384" s="12" t="n">
        <x:v>14.69</x:v>
      </x:c>
      <x:c r="E384" s="12" t="n">
        <x:v>-5.81</x:v>
      </x:c>
      <x:c r="F384" s="12" t="n">
        <x:v>4.04</x:v>
      </x:c>
      <x:c r="G384" t="str">
        <x:v>PDF geometry only - not cross-checked</x:v>
      </x:c>
    </x:row>
    <x:row r="385">
      <x:c r="A385" t="str">
        <x:v>Labuan</x:v>
      </x:c>
      <x:c r="B385" t="str">
        <x:v>Sabah</x:v>
      </x:c>
      <x:c r="C385" t="n">
        <x:v>2025</x:v>
      </x:c>
      <x:c r="D385" s="12" t="n">
        <x:v>24.23</x:v>
      </x:c>
      <x:c r="E385" s="12" t="n">
        <x:v>-7.345</x:v>
      </x:c>
      <x:c r="F385" s="12" t="n">
        <x:v>4.04</x:v>
      </x:c>
      <x:c r="G385" t="str">
        <x:v>PDF geometry only - not cross-checked</x:v>
      </x:c>
    </x:row>
    <x:row r="386">
      <x:c r="A386" t="str">
        <x:v>Lahad Datu</x:v>
      </x:c>
      <x:c r="B386" t="str">
        <x:v>Sabah</x:v>
      </x:c>
      <x:c r="C386" t="n">
        <x:v>2025</x:v>
      </x:c>
      <x:c r="D386" s="12" t="n">
        <x:v>41.42</x:v>
      </x:c>
      <x:c r="E386" s="12" t="n">
        <x:v>5.73</x:v>
      </x:c>
      <x:c r="F386" s="12" t="n">
        <x:v>4.04</x:v>
      </x:c>
      <x:c r="G386" t="str">
        <x:v>mixed - markdown primary, PDF filled gaps</x:v>
      </x:c>
    </x:row>
    <x:row r="387">
      <x:c r="A387" t="str">
        <x:v>Lankayan</x:v>
      </x:c>
      <x:c r="B387" t="str">
        <x:v>Sabah</x:v>
      </x:c>
      <x:c r="C387" t="n">
        <x:v>2025</x:v>
      </x:c>
      <x:c r="D387" s="12" t="n">
        <x:v>51.04</x:v>
      </x:c>
      <x:c r="E387" s="12" t="n">
        <x:v>1.51</x:v>
      </x:c>
      <x:c r="F387" s="12" t="n">
        <x:v>4.04</x:v>
      </x:c>
      <x:c r="G387" t="str">
        <x:v>mixed - markdown primary, PDF filled gaps</x:v>
      </x:c>
    </x:row>
    <x:row r="388">
      <x:c r="A388" t="str">
        <x:v>Larapan</x:v>
      </x:c>
      <x:c r="B388" t="str">
        <x:v>Sabah</x:v>
      </x:c>
      <x:c r="C388" t="n">
        <x:v>2025</x:v>
      </x:c>
      <x:c r="D388" s="12" t="n">
        <x:v>50.88</x:v>
      </x:c>
      <x:c r="E388" s="12" t="n">
        <x:v>-7.62</x:v>
      </x:c>
      <x:c r="F388" s="12" t="n">
        <x:v>4.04</x:v>
      </x:c>
      <x:c r="G388" t="str">
        <x:v>mixed - markdown primary, PDF filled gaps</x:v>
      </x:c>
    </x:row>
    <x:row r="389">
      <x:c r="A389" t="str">
        <x:v>Mabul</x:v>
      </x:c>
      <x:c r="B389" t="str">
        <x:v>Sabah</x:v>
      </x:c>
      <x:c r="C389" t="n">
        <x:v>2025</x:v>
      </x:c>
      <x:c r="D389" s="12" t="n">
        <x:v>26.56</x:v>
      </x:c>
      <x:c r="E389" s="12" t="n">
        <x:v>4.27</x:v>
      </x:c>
      <x:c r="F389" s="12" t="n">
        <x:v>4.04</x:v>
      </x:c>
      <x:c r="G389" t="str">
        <x:v>mixed - markdown primary, PDF filled gaps</x:v>
      </x:c>
    </x:row>
    <x:row r="390">
      <x:c r="A390" t="str">
        <x:v>Mantanani</x:v>
      </x:c>
      <x:c r="B390" t="str">
        <x:v>Sabah</x:v>
      </x:c>
      <x:c r="C390" t="n">
        <x:v>2025</x:v>
      </x:c>
      <x:c r="D390" s="12" t="n">
        <x:v>22.55</x:v>
      </x:c>
      <x:c r="E390" s="12" t="n">
        <x:v>-10.29</x:v>
      </x:c>
      <x:c r="F390" s="12" t="n">
        <x:v>4.04</x:v>
      </x:c>
      <x:c r="G390" t="str">
        <x:v>PDF geometry only - not cross-checked</x:v>
      </x:c>
    </x:row>
    <x:row r="391">
      <x:c r="A391" t="str">
        <x:v>Mataking</x:v>
      </x:c>
      <x:c r="B391" t="str">
        <x:v>Sabah</x:v>
      </x:c>
      <x:c r="C391" t="n">
        <x:v>2025</x:v>
      </x:c>
      <x:c r="D391" s="12" t="n">
        <x:v>28.75</x:v>
      </x:c>
      <x:c r="E391" s="12" t="n">
        <x:v>1.86</x:v>
      </x:c>
      <x:c r="F391" s="12" t="n">
        <x:v>4.04</x:v>
      </x:c>
      <x:c r="G391" t="str">
        <x:v>mixed - markdown primary, PDF filled gaps</x:v>
      </x:c>
    </x:row>
    <x:row r="392">
      <x:c r="A392" t="str">
        <x:v>Penyu</x:v>
      </x:c>
      <x:c r="B392" t="str">
        <x:v>Sabah</x:v>
      </x:c>
      <x:c r="C392" t="n">
        <x:v>2025</x:v>
      </x:c>
      <x:c r="D392" s="12" t="n">
        <x:v>37.77</x:v>
      </x:c>
      <x:c r="E392" s="12" t="n">
        <x:v>-1.53</x:v>
      </x:c>
      <x:c r="F392" s="12" t="n">
        <x:v>4.04</x:v>
      </x:c>
      <x:c r="G392" t="str">
        <x:v>PDF geometry only - not cross-checked</x:v>
      </x:c>
    </x:row>
    <x:row r="393">
      <x:c r="A393" t="str">
        <x:v>Sipadan</x:v>
      </x:c>
      <x:c r="B393" t="str">
        <x:v>Sabah</x:v>
      </x:c>
      <x:c r="C393" t="n">
        <x:v>2025</x:v>
      </x:c>
      <x:c r="D393" s="12" t="n">
        <x:v>55.21</x:v>
      </x:c>
      <x:c r="E393" s="12" t="n">
        <x:v>-8.08</x:v>
      </x:c>
      <x:c r="F393" s="12" t="n">
        <x:v>4.04</x:v>
      </x:c>
      <x:c r="G393" t="str">
        <x:v>mixed - markdown primary, PDF filled gaps</x:v>
      </x:c>
    </x:row>
    <x:row r="394">
      <x:c r="A394" t="str">
        <x:v>Tiga</x:v>
      </x:c>
      <x:c r="B394" t="str">
        <x:v>Sabah</x:v>
      </x:c>
      <x:c r="C394" t="n">
        <x:v>2025</x:v>
      </x:c>
      <x:c r="D394" s="12" t="n">
        <x:v>21.52</x:v>
      </x:c>
      <x:c r="E394" s="12" t="n">
        <x:v>-1.15</x:v>
      </x:c>
      <x:c r="F394" s="12" t="n">
        <x:v>4.04</x:v>
      </x:c>
      <x:c r="G394" t="str">
        <x:v>mixed - markdown primary, PDF filled gaps</x:v>
      </x:c>
    </x:row>
    <x:row r="395">
      <x:c r="A395" t="str">
        <x:v>Tun Mustapha Park</x:v>
      </x:c>
      <x:c r="B395" t="str">
        <x:v>Sabah</x:v>
      </x:c>
      <x:c r="C395" t="n">
        <x:v>2025</x:v>
      </x:c>
      <x:c r="D395" s="12" t="n">
        <x:v>40.35</x:v>
      </x:c>
      <x:c r="E395" s="12" t="n">
        <x:v>-4.48</x:v>
      </x:c>
      <x:c r="F395" s="12" t="n">
        <x:v>4.04</x:v>
      </x:c>
      <x:c r="G395" t="str">
        <x:v>mixed - markdown primary, PDF filled gaps</x:v>
      </x:c>
    </x:row>
    <x:row r="396">
      <x:c r="A396" t="str">
        <x:v>Tun Sakaran Marine Park</x:v>
      </x:c>
      <x:c r="B396" t="str">
        <x:v>Sabah</x:v>
      </x:c>
      <x:c r="C396" t="n">
        <x:v>2025</x:v>
      </x:c>
      <x:c r="D396" s="12" t="n">
        <x:v>51.77</x:v>
      </x:c>
      <x:c r="E396" s="12" t="n">
        <x:v>-4.01</x:v>
      </x:c>
      <x:c r="F396" s="12" t="n">
        <x:v>4.04</x:v>
      </x:c>
      <x:c r="G396" t="str">
        <x:v>mixed - markdown primary, PDF filled gaps</x:v>
      </x:c>
    </x:row>
    <x:row r="397">
      <x:c r="A397" t="str">
        <x:v>Tunku Abdul Rahman Park</x:v>
      </x:c>
      <x:c r="B397" t="str">
        <x:v>Sabah</x:v>
      </x:c>
      <x:c r="C397" t="n">
        <x:v>2025</x:v>
      </x:c>
      <x:c r="D397" s="12" t="n">
        <x:v>13.12</x:v>
      </x:c>
      <x:c r="E397" s="12" t="n">
        <x:v>-0.86</x:v>
      </x:c>
      <x:c r="F397" s="12" t="n">
        <x:v>4.04</x:v>
      </x:c>
      <x:c r="G397" t="str">
        <x:v>PDF geometry only - not cross-checked</x:v>
      </x:c>
    </x:row>
    <x:row r="398">
      <x:c r="A398" t="str">
        <x:v>Usukan Cove</x:v>
      </x:c>
      <x:c r="B398" t="str">
        <x:v>Sabah</x:v>
      </x:c>
      <x:c r="C398" t="n">
        <x:v>2025</x:v>
      </x:c>
      <x:c r="D398" s="12" t="n">
        <x:v>15.94</x:v>
      </x:c>
      <x:c r="E398" s="12" t="n">
        <x:v>-16.5</x:v>
      </x:c>
      <x:c r="F398" s="12" t="n">
        <x:v>4.04</x:v>
      </x:c>
      <x:c r="G398" t="str">
        <x:v>mixed - markdown primary, PDF filled gaps</x:v>
      </x:c>
    </x:row>
    <x:row r="399">
      <x:c r="A399" t="str">
        <x:v>Bidong &amp; Yu</x:v>
      </x:c>
      <x:c r="B399" t="str">
        <x:v>Terengganu</x:v>
      </x:c>
      <x:c r="C399" t="n">
        <x:v>2025</x:v>
      </x:c>
      <x:c r="D399" s="12" t="n">
        <x:v>48.02</x:v>
      </x:c>
      <x:c r="E399" s="12" t="n">
        <x:v>-11.25</x:v>
      </x:c>
      <x:c r="F399" s="12" t="n">
        <x:v>2.05</x:v>
      </x:c>
      <x:c r="G399" t="str">
        <x:v>mixed - markdown primary, PDF filled gaps</x:v>
      </x:c>
    </x:row>
    <x:row r="400">
      <x:c r="A400" t="str">
        <x:v>Kapas</x:v>
      </x:c>
      <x:c r="B400" t="str">
        <x:v>Terengganu</x:v>
      </x:c>
      <x:c r="C400" t="n">
        <x:v>2025</x:v>
      </x:c>
      <x:c r="D400" s="12" t="n">
        <x:v>52.63</x:v>
      </x:c>
      <x:c r="E400" s="12" t="n">
        <x:v>5.11</x:v>
      </x:c>
      <x:c r="F400" s="12" t="n">
        <x:v>2.05</x:v>
      </x:c>
      <x:c r="G400" t="str">
        <x:v>mixed - markdown primary, PDF filled gaps</x:v>
      </x:c>
    </x:row>
    <x:row r="401">
      <x:c r="A401" t="str">
        <x:v>Lang Tengah</x:v>
      </x:c>
      <x:c r="B401" t="str">
        <x:v>Terengganu</x:v>
      </x:c>
      <x:c r="C401" t="n">
        <x:v>2025</x:v>
      </x:c>
      <x:c r="D401" s="12" t="n">
        <x:v>26.72</x:v>
      </x:c>
      <x:c r="E401" s="12" t="n">
        <x:v>-9.99</x:v>
      </x:c>
      <x:c r="F401" s="12" t="n">
        <x:v>2.05</x:v>
      </x:c>
      <x:c r="G401" t="str">
        <x:v>mixed - markdown primary, PDF filled gaps</x:v>
      </x:c>
    </x:row>
    <x:row r="402">
      <x:c r="A402" t="str">
        <x:v>Perhentian</x:v>
      </x:c>
      <x:c r="B402" t="str">
        <x:v>Terengganu</x:v>
      </x:c>
      <x:c r="C402" t="n">
        <x:v>2025</x:v>
      </x:c>
      <x:c r="D402" s="12" t="n">
        <x:v>32.44</x:v>
      </x:c>
      <x:c r="E402" s="12" t="n">
        <x:v>-6.75</x:v>
      </x:c>
      <x:c r="F402" s="12" t="n">
        <x:v>2.05</x:v>
      </x:c>
      <x:c r="G402" t="str">
        <x:v>mixed - markdown primary, PDF filled gaps</x:v>
      </x:c>
    </x:row>
    <x:row r="403">
      <x:c r="A403" t="str">
        <x:v>Redang</x:v>
      </x:c>
      <x:c r="B403" t="str">
        <x:v>Terengganu</x:v>
      </x:c>
      <x:c r="C403" t="n">
        <x:v>2025</x:v>
      </x:c>
      <x:c r="D403" s="12" t="n">
        <x:v>25.89</x:v>
      </x:c>
      <x:c r="E403" s="12" t="n">
        <x:v>-3.28</x:v>
      </x:c>
      <x:c r="F403" s="12" t="n">
        <x:v>2.05</x:v>
      </x:c>
      <x:c r="G403" t="str">
        <x:v>mixed - markdown primary, PDF filled gaps</x:v>
      </x:c>
    </x:row>
    <x:row r="404">
      <x:c r="A404" t="str">
        <x:v>Rhu</x:v>
      </x:c>
      <x:c r="B404" t="str">
        <x:v>Terengganu</x:v>
      </x:c>
      <x:c r="C404" t="n">
        <x:v>2025</x:v>
      </x:c>
      <x:c r="D404" s="12" t="n">
        <x:v>27.92</x:v>
      </x:c>
      <x:c r="E404" s="12" t="n">
        <x:v>-0.37</x:v>
      </x:c>
      <x:c r="F404" s="12" t="n">
        <x:v>2.05</x:v>
      </x:c>
      <x:c r="G404" t="str">
        <x:v>mixed - markdown primary, PDF filled gaps</x:v>
      </x:c>
    </x:row>
    <x:row r="405">
      <x:c r="A405" t="str">
        <x:v>Tenggol</x:v>
      </x:c>
      <x:c r="B405" t="str">
        <x:v>Terengganu</x:v>
      </x:c>
      <x:c r="C405" t="n">
        <x:v>2025</x:v>
      </x:c>
      <x:c r="D405" s="12" t="n">
        <x:v>54.17</x:v>
      </x:c>
      <x:c r="E405" s="12" t="n">
        <x:v>-2.91</x:v>
      </x:c>
      <x:c r="F405" s="12" t="n">
        <x:v>2.05</x:v>
      </x:c>
      <x:c r="G405" t="str">
        <x:v>mixed - markdown primary, PDF filled gaps</x:v>
      </x:c>
    </x:row>
  </x:sheetData>
  <x:pageMargins left="0.7" right="0.7" top="0.75" bottom="0.75" header="0.3" footer="0.3"/>
  <x:tableParts count="1">
    <x:tablePart xmlns:r="http://schemas.openxmlformats.org/officeDocument/2006/relationships" r:id="R30997303518142c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6" max="6" width="26" hidden="0" customWidth="1"/>
    <x:col min="7" max="7" width="45" hidden="0" customWidth="1"/>
  </x:cols>
  <x:sheetData>
    <x:row r="1">
      <x:c r="A1" s="9" t="str">
        <x:v>Model</x:v>
      </x:c>
      <x:c r="B1" s="10" t="str">
        <x:v>MAE (pp/yr)</x:v>
      </x:c>
      <x:c r="C1" s="10" t="str">
        <x:v>RMSE (pp/yr)</x:v>
      </x:c>
      <x:c r="D1" s="11" t="str">
        <x:v>R²</x:v>
      </x:c>
      <x:c r="F1" s="9" t="str">
        <x:v>Check</x:v>
      </x:c>
      <x:c r="G1" s="11" t="str">
        <x:v>Value</x:v>
      </x:c>
    </x:row>
    <x:row r="2">
      <x:c r="A2" t="str">
        <x:v>Baseline mean</x:v>
      </x:c>
      <x:c r="B2" s="14" t="n">
        <x:v>5.991</x:v>
      </x:c>
      <x:c r="C2" s="14" t="n">
        <x:v>8.1</x:v>
      </x:c>
      <x:c r="D2" s="14" t="n">
        <x:v>-0.019</x:v>
      </x:c>
      <x:c r="F2" t="str">
        <x:v>Evaluation design</x:v>
      </x:c>
      <x:c r="G2" t="str">
        <x:v>Past-only expanding-window</x:v>
      </x:c>
    </x:row>
    <x:row r="3">
      <x:c r="A3" t="str">
        <x:v>Ridge regression</x:v>
      </x:c>
      <x:c r="B3" s="14" t="n">
        <x:v>5.993</x:v>
      </x:c>
      <x:c r="C3" s="14" t="n">
        <x:v>7.909</x:v>
      </x:c>
      <x:c r="D3" s="14" t="n">
        <x:v>0.029</x:v>
      </x:c>
      <x:c r="F3" t="str">
        <x:v>Forward evaluation rows</x:v>
      </x:c>
      <x:c r="G3" t="n">
        <x:v>183</x:v>
      </x:c>
    </x:row>
    <x:row r="4">
      <x:c r="A4" t="str">
        <x:v>Gradient boosting</x:v>
      </x:c>
      <x:c r="B4" s="14" t="n">
        <x:v>5.902</x:v>
      </x:c>
      <x:c r="C4" s="14" t="n">
        <x:v>7.817</x:v>
      </x:c>
      <x:c r="D4" s="14" t="n">
        <x:v>0.051</x:v>
      </x:c>
      <x:c r="F4" t="str">
        <x:v>Best-model MAE improvement</x:v>
      </x:c>
      <x:c r="G4" s="15" t="n">
        <x:v>0.015</x:v>
      </x:c>
    </x:row>
    <x:row r="5">
      <x:c r="A5" t="str">
        <x:v>Random forest</x:v>
      </x:c>
      <x:c r="B5" s="14" t="n">
        <x:v>6.123</x:v>
      </x:c>
      <x:c r="C5" s="14" t="n">
        <x:v>8.073</x:v>
      </x:c>
      <x:c r="D5" s="14" t="n">
        <x:v>-0.012</x:v>
      </x:c>
      <x:c r="F5" t="str">
        <x:v>Decision status</x:v>
      </x:c>
      <x:c r="G5" t="str">
        <x:v>Screening only; field verification required</x:v>
      </x:c>
    </x:row>
    <x:row r="7">
      <x:c r="F7" s="9" t="str">
        <x:v>Survey year</x:v>
      </x:c>
      <x:c r="G7" s="11" t="str">
        <x:v>National mean LCC (%)</x:v>
      </x:c>
    </x:row>
    <x:row r="8">
      <x:c r="F8" t="n">
        <x:v>2012</x:v>
      </x:c>
      <x:c r="G8" s="12" t="n">
        <x:v>57.120000000000005</x:v>
      </x:c>
    </x:row>
    <x:row r="9">
      <x:c r="F9" t="n">
        <x:v>2013</x:v>
      </x:c>
      <x:c r="G9" s="12" t="n">
        <x:v>49.18142857142858</x:v>
      </x:c>
    </x:row>
    <x:row r="10">
      <x:c r="F10" t="n">
        <x:v>2014</x:v>
      </x:c>
      <x:c r="G10" s="12" t="n">
        <x:v>49.19227272727274</x:v>
      </x:c>
    </x:row>
    <x:row r="11">
      <x:c r="F11" t="n">
        <x:v>2015</x:v>
      </x:c>
      <x:c r="G11" s="12" t="n">
        <x:v>47.31000000000001</x:v>
      </x:c>
    </x:row>
    <x:row r="12">
      <x:c r="F12" t="n">
        <x:v>2016</x:v>
      </x:c>
      <x:c r="G12" s="12" t="n">
        <x:v>44.46296296296296</x:v>
      </x:c>
    </x:row>
    <x:row r="13">
      <x:c r="F13" t="n">
        <x:v>2017</x:v>
      </x:c>
      <x:c r="G13" s="12" t="n">
        <x:v>43.265517241379314</x:v>
      </x:c>
    </x:row>
    <x:row r="14">
      <x:c r="F14" t="n">
        <x:v>2018</x:v>
      </x:c>
      <x:c r="G14" s="12" t="n">
        <x:v>41.339999999999996</x:v>
      </x:c>
    </x:row>
    <x:row r="15">
      <x:c r="F15" t="n">
        <x:v>2019</x:v>
      </x:c>
      <x:c r="G15" s="12" t="n">
        <x:v>42.153333333333336</x:v>
      </x:c>
    </x:row>
    <x:row r="16">
      <x:c r="F16" t="n">
        <x:v>2020</x:v>
      </x:c>
      <x:c r="G16" s="12" t="n">
        <x:v>41.3584</x:v>
      </x:c>
    </x:row>
    <x:row r="17">
      <x:c r="F17" t="n">
        <x:v>2021</x:v>
      </x:c>
      <x:c r="G17" s="12" t="n">
        <x:v>43.638571428571424</x:v>
      </x:c>
    </x:row>
    <x:row r="18">
      <x:c r="F18" t="n">
        <x:v>2022</x:v>
      </x:c>
      <x:c r="G18" s="12" t="n">
        <x:v>47.55813953488373</x:v>
      </x:c>
    </x:row>
    <x:row r="19">
      <x:c r="F19" t="n">
        <x:v>2023</x:v>
      </x:c>
      <x:c r="G19" s="12" t="n">
        <x:v>46.79886363636365</x:v>
      </x:c>
    </x:row>
    <x:row r="20">
      <x:c r="F20" t="n">
        <x:v>2024</x:v>
      </x:c>
      <x:c r="G20" s="12" t="n">
        <x:v>44.73121951219512</x:v>
      </x:c>
    </x:row>
    <x:row r="21">
      <x:c r="F21" t="n">
        <x:v>2025</x:v>
      </x:c>
      <x:c r="G21" s="12" t="n">
        <x:v>39.81850000000001</x:v>
      </x:c>
    </x:row>
  </x:sheetData>
  <x:pageMargins left="0.7" right="0.7" top="0.75" bottom="0.75" header="0.3" footer="0.3"/>
  <x:tableParts count="1">
    <x:tablePart xmlns:r="http://schemas.openxmlformats.org/officeDocument/2006/relationships" r:id="R39e6efff2d0e4457"/>
  </x:tableParts>
</x:worksheet>
</file>