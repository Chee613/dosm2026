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ee\Documents\dosm2026\.worktrees\reefsafe-recovery\dist\dashboard_package\"/>
    </mc:Choice>
  </mc:AlternateContent>
  <xr:revisionPtr revIDLastSave="0" documentId="13_ncr:1_{C8148BF3-BD18-4F87-8479-B09FD3B2F590}" xr6:coauthVersionLast="47" xr6:coauthVersionMax="47" xr10:uidLastSave="{00000000-0000-0000-0000-000000000000}"/>
  <bookViews>
    <workbookView xWindow="2892" yWindow="2892" windowWidth="17280" windowHeight="9420" xr2:uid="{00000000-000D-0000-FFFF-FFFF00000000}"/>
  </bookViews>
  <sheets>
    <sheet name="Dashboard" sheetId="1" r:id="rId1"/>
    <sheet name="Priority_Data" sheetId="2" r:id="rId2"/>
    <sheet name="History_Data" sheetId="3" r:id="rId3"/>
    <sheet name="Model_Check" sheetId="4" r:id="rId4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D47" i="1"/>
  <c r="C47" i="1"/>
  <c r="B47" i="1"/>
  <c r="A47" i="1"/>
  <c r="E46" i="1"/>
  <c r="D46" i="1"/>
  <c r="C46" i="1"/>
  <c r="B46" i="1"/>
  <c r="A46" i="1"/>
  <c r="E45" i="1"/>
  <c r="D45" i="1"/>
  <c r="C45" i="1"/>
  <c r="B45" i="1"/>
  <c r="A45" i="1"/>
  <c r="E44" i="1"/>
  <c r="D44" i="1"/>
  <c r="C44" i="1"/>
  <c r="B44" i="1"/>
  <c r="A44" i="1"/>
  <c r="E43" i="1"/>
  <c r="D43" i="1"/>
  <c r="C43" i="1"/>
  <c r="B43" i="1"/>
  <c r="A43" i="1"/>
  <c r="E42" i="1"/>
  <c r="D42" i="1"/>
  <c r="C42" i="1"/>
  <c r="B42" i="1"/>
  <c r="A42" i="1"/>
  <c r="K41" i="1"/>
  <c r="J41" i="1"/>
  <c r="I41" i="1"/>
  <c r="H41" i="1"/>
  <c r="E41" i="1"/>
  <c r="D41" i="1"/>
  <c r="C41" i="1"/>
  <c r="B41" i="1"/>
  <c r="A41" i="1"/>
  <c r="K40" i="1"/>
  <c r="J40" i="1"/>
  <c r="I40" i="1"/>
  <c r="H40" i="1"/>
  <c r="E40" i="1"/>
  <c r="D40" i="1"/>
  <c r="C40" i="1"/>
  <c r="B40" i="1"/>
  <c r="A40" i="1"/>
  <c r="K39" i="1"/>
  <c r="J39" i="1"/>
  <c r="I39" i="1"/>
  <c r="H39" i="1"/>
  <c r="E39" i="1"/>
  <c r="D39" i="1"/>
  <c r="C39" i="1"/>
  <c r="B39" i="1"/>
  <c r="A39" i="1"/>
  <c r="K38" i="1"/>
  <c r="J38" i="1"/>
  <c r="I38" i="1"/>
  <c r="H38" i="1"/>
  <c r="E38" i="1"/>
  <c r="D38" i="1"/>
  <c r="C38" i="1"/>
  <c r="B38" i="1"/>
  <c r="A38" i="1"/>
  <c r="A16" i="1"/>
  <c r="A13" i="1"/>
  <c r="B10" i="1"/>
  <c r="J8" i="1"/>
  <c r="G8" i="1"/>
  <c r="D8" i="1"/>
  <c r="A8" i="1"/>
</calcChain>
</file>

<file path=xl/sharedStrings.xml><?xml version="1.0" encoding="utf-8"?>
<sst xmlns="http://schemas.openxmlformats.org/spreadsheetml/2006/main" count="1514" uniqueCount="127">
  <si>
    <t>ReefSafe decision dashboard</t>
  </si>
  <si>
    <t>Observed reef evidence + cautious next-observation screening | Malaysia, 2012–2025</t>
  </si>
  <si>
    <t>Selected island</t>
  </si>
  <si>
    <t>Labuan</t>
  </si>
  <si>
    <t>Change the yellow cell to inspect any monitored island</t>
  </si>
  <si>
    <t>Current LCC</t>
  </si>
  <si>
    <t>Observed change</t>
  </si>
  <si>
    <t>Predicted next change</t>
  </si>
  <si>
    <t>Priority</t>
  </si>
  <si>
    <t>Uncertainty interval</t>
  </si>
  <si>
    <t>Intervals are empirical screening bands, not causal or site-specific certainty.</t>
  </si>
  <si>
    <t>Observed evidence</t>
  </si>
  <si>
    <t>Recommended next step</t>
  </si>
  <si>
    <t>Island</t>
  </si>
  <si>
    <t>State</t>
  </si>
  <si>
    <t>Predicted change</t>
  </si>
  <si>
    <t>Evidence</t>
  </si>
  <si>
    <t>Model</t>
  </si>
  <si>
    <t>MAE</t>
  </si>
  <si>
    <t>RMSE</t>
  </si>
  <si>
    <t>R²</t>
  </si>
  <si>
    <t>Model check</t>
  </si>
  <si>
    <t>Gradient boosting MAE 5.86 pp/yr vs baseline 5.99 pp/yr (+2.1%). R² 0.069. NOAA heat is context only. Use the model to rank field checks, not as proof of tourism causality.</t>
  </si>
  <si>
    <t>Rank</t>
  </si>
  <si>
    <t>Current LCC (%)</t>
  </si>
  <si>
    <t>Observed change (pp/yr)</t>
  </si>
  <si>
    <t>Max DHW (context only)</t>
  </si>
  <si>
    <t>Predicted next change (pp/yr)</t>
  </si>
  <si>
    <t>Lower</t>
  </si>
  <si>
    <t>Upper</t>
  </si>
  <si>
    <t>Priority tier</t>
  </si>
  <si>
    <t>Source confidence</t>
  </si>
  <si>
    <t>W.P. Labuan</t>
  </si>
  <si>
    <t>High screening priority</t>
  </si>
  <si>
    <t>NOAA thermal stress observed</t>
  </si>
  <si>
    <t>Coordinate bleaching survey; do not attribute thermal loss to visitors</t>
  </si>
  <si>
    <t>PDF geometry only - not cross-checked</t>
  </si>
  <si>
    <t>Kapas</t>
  </si>
  <si>
    <t>Terengganu</t>
  </si>
  <si>
    <t>Modelled decline; no single dominant observed stressor</t>
  </si>
  <si>
    <t>Prioritise field validation before imposing restrictions</t>
  </si>
  <si>
    <t>mixed - markdown primary, PDF filled gaps</t>
  </si>
  <si>
    <t>Seri Buat</t>
  </si>
  <si>
    <t>Pahang</t>
  </si>
  <si>
    <t>Anchor impact mentioned in Reef Check report</t>
  </si>
  <si>
    <t>Inspect mooring availability and anchoring controls</t>
  </si>
  <si>
    <t>Mertang</t>
  </si>
  <si>
    <t>Johor</t>
  </si>
  <si>
    <t>Mensirip</t>
  </si>
  <si>
    <t>Waste or pollution indicator is elevated</t>
  </si>
  <si>
    <t>Inspect waste and wastewater controls</t>
  </si>
  <si>
    <t>Tenggol</t>
  </si>
  <si>
    <t>Tinggi</t>
  </si>
  <si>
    <t>Lima</t>
  </si>
  <si>
    <t>Sibu</t>
  </si>
  <si>
    <t>Lankayan</t>
  </si>
  <si>
    <t>Sabah</t>
  </si>
  <si>
    <t>Sipadan</t>
  </si>
  <si>
    <t>Monitor</t>
  </si>
  <si>
    <t>Tun Sakaran Marine Park</t>
  </si>
  <si>
    <t>Larapan</t>
  </si>
  <si>
    <t>Harimau</t>
  </si>
  <si>
    <t>Tengah</t>
  </si>
  <si>
    <t>Rawa</t>
  </si>
  <si>
    <t>Gual</t>
  </si>
  <si>
    <t>Penyu</t>
  </si>
  <si>
    <t>Payar</t>
  </si>
  <si>
    <t>Kedah</t>
  </si>
  <si>
    <t>Lahad Datu</t>
  </si>
  <si>
    <t>Tun Mustapha Park</t>
  </si>
  <si>
    <t>Hujung</t>
  </si>
  <si>
    <t>Pemanggil</t>
  </si>
  <si>
    <t>Besar</t>
  </si>
  <si>
    <t>Usukan Cove</t>
  </si>
  <si>
    <t>Port Dickson</t>
  </si>
  <si>
    <t>Negeri Sembilan</t>
  </si>
  <si>
    <t>Aur &amp; Dayang</t>
  </si>
  <si>
    <t>Tioman</t>
  </si>
  <si>
    <t>Tiga</t>
  </si>
  <si>
    <t>Rhu</t>
  </si>
  <si>
    <t>Redang</t>
  </si>
  <si>
    <t>Perhentian</t>
  </si>
  <si>
    <t>Tunku Abdul Rahman Park</t>
  </si>
  <si>
    <t>Mataking</t>
  </si>
  <si>
    <t>Lang Tengah</t>
  </si>
  <si>
    <t>Mantanani</t>
  </si>
  <si>
    <t>Bidong &amp; Yu</t>
  </si>
  <si>
    <t>Kapalai</t>
  </si>
  <si>
    <t>Mabul</t>
  </si>
  <si>
    <t>Malacca</t>
  </si>
  <si>
    <t>Survey year</t>
  </si>
  <si>
    <t>Live coral cover (%)</t>
  </si>
  <si>
    <t>Babi Tengah</t>
  </si>
  <si>
    <t>Sibu &amp; Tinggi</t>
  </si>
  <si>
    <t>markdown only</t>
  </si>
  <si>
    <t>Sembilan</t>
  </si>
  <si>
    <t>Perak</t>
  </si>
  <si>
    <t>Kota Belud</t>
  </si>
  <si>
    <t>verified - markdown corrected an error in the PDF pass</t>
  </si>
  <si>
    <t>Semporna</t>
  </si>
  <si>
    <t>Kuching</t>
  </si>
  <si>
    <t>Sarawak</t>
  </si>
  <si>
    <t>Miri</t>
  </si>
  <si>
    <t>Pangkor Laut</t>
  </si>
  <si>
    <t>Mataking &amp; Pom Pom</t>
  </si>
  <si>
    <t>Balambangan</t>
  </si>
  <si>
    <t>Berungus</t>
  </si>
  <si>
    <t>Maliangin</t>
  </si>
  <si>
    <t>Pom Pom</t>
  </si>
  <si>
    <t>Northern Semporna</t>
  </si>
  <si>
    <t>Southern Semporna</t>
  </si>
  <si>
    <t>Singa</t>
  </si>
  <si>
    <t>MAE (pp/yr)</t>
  </si>
  <si>
    <t>RMSE (pp/yr)</t>
  </si>
  <si>
    <t>Check</t>
  </si>
  <si>
    <t>Value</t>
  </si>
  <si>
    <t>Baseline mean</t>
  </si>
  <si>
    <t>Evaluation design</t>
  </si>
  <si>
    <t>Expanding-window evaluation on the five latest target years</t>
  </si>
  <si>
    <t>Ridge regression</t>
  </si>
  <si>
    <t>Forward evaluation rows</t>
  </si>
  <si>
    <t>Gradient boosting</t>
  </si>
  <si>
    <t>Best-model MAE improvement</t>
  </si>
  <si>
    <t>Random forest</t>
  </si>
  <si>
    <t>Decision status</t>
  </si>
  <si>
    <t>Screening only. NOAA heat is context, not a production-model feature.</t>
  </si>
  <si>
    <t>National mean LCC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</si>
</sst>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%"/>
    <numFmt numFmtId="167" formatCode="0.0&quot;%&quot;"/>
    <numFmt numFmtId="168" formatCode="0.0&quot; pp/yr&quot;"/>
  </numFmts>
  <fonts count="12">
    <font>
      <sz val="11"/>
      <name val="Carlito"/>
    </font>
    <font>
      <b/>
      <sz val="10"/>
      <color rgb="FFFFFFFF"/>
      <name val="Arial"/>
    </font>
    <font>
      <b/>
      <sz val="16"/>
      <color rgb="FF12304A"/>
      <name val="Arial"/>
    </font>
    <font>
      <i/>
      <sz val="10"/>
      <color rgb="FF60727C"/>
      <name val="Arial"/>
    </font>
    <font>
      <b/>
      <sz val="10"/>
      <color rgb="FF18323F"/>
      <name val="Arial"/>
    </font>
    <font>
      <b/>
      <sz val="11"/>
      <color rgb="FF12304A"/>
      <name val="Arial"/>
    </font>
    <font>
      <i/>
      <sz val="9"/>
      <color rgb="FF60727C"/>
      <name val="Arial"/>
    </font>
    <font>
      <b/>
      <sz val="9"/>
      <color rgb="FF60727C"/>
      <name val="Arial"/>
    </font>
    <font>
      <b/>
      <sz val="14"/>
      <color rgb="FF12304A"/>
      <name val="Arial"/>
    </font>
    <font>
      <b/>
      <sz val="11"/>
      <color rgb="FF9C0006"/>
      <name val="Arial"/>
    </font>
    <font>
      <sz val="10"/>
      <color rgb="FF18323F"/>
      <name val="Arial"/>
    </font>
    <font>
      <b/>
      <sz val="9"/>
      <color rgb="FF9C0006"/>
      <name val="Arial"/>
    </font>
  </fonts>
  <fills count="9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FFF2CC"/>
      </patternFill>
    </fill>
    <fill>
      <patternFill patternType="solid">
        <fgColor rgb="FFEAF3F6"/>
      </patternFill>
    </fill>
    <fill>
      <patternFill patternType="solid">
        <fgColor rgb="FFFFFFFF"/>
      </patternFill>
    </fill>
    <fill>
      <patternFill patternType="solid">
        <fgColor rgb="FF1F6E8C"/>
      </patternFill>
    </fill>
    <fill>
      <patternFill patternType="solid">
        <fgColor rgb="FFE2F0D9"/>
      </patternFill>
    </fill>
    <fill>
      <patternFill patternType="solid">
        <fgColor rgb="FFFCE8E6"/>
      </patternFill>
    </fill>
  </fills>
  <borders count="9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medium">
        <color rgb="FF1F6E8C"/>
      </bottom>
      <diagonal/>
    </border>
    <border>
      <left style="dashed">
        <color rgb="FF1F6E8C"/>
      </left>
      <right/>
      <top style="dashed">
        <color rgb="FF1F6E8C"/>
      </top>
      <bottom style="dashed">
        <color rgb="FF1F6E8C"/>
      </bottom>
      <diagonal/>
    </border>
    <border>
      <left/>
      <right/>
      <top style="dashed">
        <color rgb="FF1F6E8C"/>
      </top>
      <bottom style="dashed">
        <color rgb="FF1F6E8C"/>
      </bottom>
      <diagonal/>
    </border>
    <border>
      <left/>
      <right style="dashed">
        <color rgb="FF1F6E8C"/>
      </right>
      <top style="dashed">
        <color rgb="FF1F6E8C"/>
      </top>
      <bottom style="dashed">
        <color rgb="FF1F6E8C"/>
      </bottom>
      <diagonal/>
    </border>
    <border>
      <left/>
      <right/>
      <top/>
      <bottom style="thin">
        <color rgb="FFD9E2E7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166" fontId="0" fillId="0" borderId="0" xfId="0" applyNumberFormat="1"/>
    <xf numFmtId="0" fontId="0" fillId="0" borderId="4" xfId="0" applyBorder="1"/>
    <xf numFmtId="0" fontId="2" fillId="0" borderId="4" xfId="0" applyFont="1" applyBorder="1"/>
    <xf numFmtId="0" fontId="3" fillId="0" borderId="0" xfId="0" applyFont="1"/>
    <xf numFmtId="0" fontId="4" fillId="0" borderId="0" xfId="0" applyFont="1"/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167" fontId="8" fillId="0" borderId="0" xfId="0" applyNumberFormat="1" applyFont="1"/>
    <xf numFmtId="168" fontId="8" fillId="0" borderId="0" xfId="0" applyNumberFormat="1" applyFont="1"/>
    <xf numFmtId="0" fontId="7" fillId="0" borderId="0" xfId="0" applyFont="1"/>
    <xf numFmtId="0" fontId="1" fillId="6" borderId="0" xfId="0" applyFont="1" applyFill="1"/>
    <xf numFmtId="0" fontId="0" fillId="0" borderId="8" xfId="0" applyBorder="1"/>
    <xf numFmtId="164" fontId="0" fillId="0" borderId="8" xfId="0" applyNumberFormat="1" applyBorder="1"/>
    <xf numFmtId="0" fontId="0" fillId="0" borderId="8" xfId="0" applyBorder="1" applyAlignment="1">
      <alignment wrapText="1"/>
    </xf>
    <xf numFmtId="0" fontId="10" fillId="0" borderId="0" xfId="0" applyFont="1"/>
    <xf numFmtId="0" fontId="10" fillId="5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MY" sz="900">
                <a:latin typeface="Arial"/>
                <a:ea typeface="Arial"/>
                <a:cs typeface="Arial"/>
              </a:rPr>
              <a:t>Top 10 screening priorities: predicted next change (pp/yr)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Predicted next change (pp/yr)</c:v>
          </c:tx>
          <c:spPr>
            <a:solidFill>
              <a:srgbClr val="1F6E8C"/>
            </a:solidFill>
          </c:spPr>
          <c:invertIfNegative val="1"/>
          <c:cat>
            <c:strRef>
              <c:f>Priority_Data!$A$2:$A$11</c:f>
              <c:strCache>
                <c:ptCount val="10"/>
                <c:pt idx="0">
                  <c:v>Labuan</c:v>
                </c:pt>
                <c:pt idx="1">
                  <c:v>Kapas</c:v>
                </c:pt>
                <c:pt idx="2">
                  <c:v>Seri Buat</c:v>
                </c:pt>
                <c:pt idx="3">
                  <c:v>Mertang</c:v>
                </c:pt>
                <c:pt idx="4">
                  <c:v>Mensirip</c:v>
                </c:pt>
                <c:pt idx="5">
                  <c:v>Tenggol</c:v>
                </c:pt>
                <c:pt idx="6">
                  <c:v>Tinggi</c:v>
                </c:pt>
                <c:pt idx="7">
                  <c:v>Lima</c:v>
                </c:pt>
                <c:pt idx="8">
                  <c:v>Sibu</c:v>
                </c:pt>
                <c:pt idx="9">
                  <c:v>Lankayan</c:v>
                </c:pt>
              </c:strCache>
            </c:strRef>
          </c:cat>
          <c:val>
            <c:numRef>
              <c:f>Priority_Data!$G$2:$G$11</c:f>
              <c:numCache>
                <c:formatCode>0.0</c:formatCode>
                <c:ptCount val="10"/>
                <c:pt idx="0">
                  <c:v>-14.417288249580414</c:v>
                </c:pt>
                <c:pt idx="1">
                  <c:v>-5.7510548358843989</c:v>
                </c:pt>
                <c:pt idx="2">
                  <c:v>-5.1547028837123623</c:v>
                </c:pt>
                <c:pt idx="3">
                  <c:v>-5.0266139003205002</c:v>
                </c:pt>
                <c:pt idx="4">
                  <c:v>-4.8498589379272889</c:v>
                </c:pt>
                <c:pt idx="5">
                  <c:v>-4.6395894547180534</c:v>
                </c:pt>
                <c:pt idx="6">
                  <c:v>-4.6252272839816033</c:v>
                </c:pt>
                <c:pt idx="7">
                  <c:v>-4.3729978691930409</c:v>
                </c:pt>
                <c:pt idx="8">
                  <c:v>-4.3361716781234225</c:v>
                </c:pt>
                <c:pt idx="9">
                  <c:v>-4.0730635753730926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FEB-43A7-B395-FD7458FF2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MY" sz="900">
                <a:latin typeface="Arial"/>
                <a:ea typeface="Arial"/>
                <a:cs typeface="Arial"/>
              </a:rPr>
              <a:t>Observed national mean live coral cover (%)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National mean LCC (%)</c:v>
          </c:tx>
          <c:spPr>
            <a:ln w="19050">
              <a:solidFill>
                <a:srgbClr val="78909C"/>
              </a:solidFill>
              <a:prstDash val="solid"/>
            </a:ln>
          </c:spPr>
          <c:marker>
            <c:symbol val="none"/>
          </c:marker>
          <c:cat>
            <c:numRef>
              <c:f>Model_Check!$F$8:$F$21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Model_Check!$G$8:$G$21</c:f>
              <c:numCache>
                <c:formatCode>0.0</c:formatCode>
                <c:ptCount val="14"/>
                <c:pt idx="0">
                  <c:v>57.120000000000005</c:v>
                </c:pt>
                <c:pt idx="1">
                  <c:v>49.181428571428583</c:v>
                </c:pt>
                <c:pt idx="2">
                  <c:v>49.192272727272737</c:v>
                </c:pt>
                <c:pt idx="3">
                  <c:v>47.310000000000009</c:v>
                </c:pt>
                <c:pt idx="4">
                  <c:v>44.462962962962962</c:v>
                </c:pt>
                <c:pt idx="5">
                  <c:v>43.265517241379314</c:v>
                </c:pt>
                <c:pt idx="6">
                  <c:v>41.339999999999996</c:v>
                </c:pt>
                <c:pt idx="7">
                  <c:v>42.153333333333336</c:v>
                </c:pt>
                <c:pt idx="8">
                  <c:v>41.358400000000003</c:v>
                </c:pt>
                <c:pt idx="9">
                  <c:v>43.638571428571424</c:v>
                </c:pt>
                <c:pt idx="10">
                  <c:v>47.558139534883729</c:v>
                </c:pt>
                <c:pt idx="11">
                  <c:v>46.798863636363649</c:v>
                </c:pt>
                <c:pt idx="12">
                  <c:v>44.731219512195118</c:v>
                </c:pt>
                <c:pt idx="13">
                  <c:v>39.818500000000007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0-46D4-BCFB-22E65909C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orityTable" displayName="PriorityTable" ref="A1:M41" totalsRowShown="0">
  <tableColumns count="13">
    <tableColumn id="1" xr3:uid="{00000000-0010-0000-0000-000001000000}" name="Island"/>
    <tableColumn id="2" xr3:uid="{00000000-0010-0000-0000-000002000000}" name="Rank"/>
    <tableColumn id="3" xr3:uid="{00000000-0010-0000-0000-000003000000}" name="State"/>
    <tableColumn id="4" xr3:uid="{00000000-0010-0000-0000-000004000000}" name="Current LCC (%)"/>
    <tableColumn id="5" xr3:uid="{00000000-0010-0000-0000-000005000000}" name="Observed change (pp/yr)"/>
    <tableColumn id="6" xr3:uid="{00000000-0010-0000-0000-000006000000}" name="Max DHW (context only)"/>
    <tableColumn id="7" xr3:uid="{00000000-0010-0000-0000-000007000000}" name="Predicted next change (pp/yr)"/>
    <tableColumn id="8" xr3:uid="{00000000-0010-0000-0000-000008000000}" name="Lower"/>
    <tableColumn id="9" xr3:uid="{00000000-0010-0000-0000-000009000000}" name="Upper"/>
    <tableColumn id="10" xr3:uid="{00000000-0010-0000-0000-00000A000000}" name="Priority tier"/>
    <tableColumn id="11" xr3:uid="{00000000-0010-0000-0000-00000B000000}" name="Evidence"/>
    <tableColumn id="12" xr3:uid="{00000000-0010-0000-0000-00000C000000}" name="Recommended next step"/>
    <tableColumn id="13" xr3:uid="{00000000-0010-0000-0000-00000D000000}" name="Source 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istoryTable" displayName="HistoryTable" ref="A1:G405" totalsRowShown="0">
  <tableColumns count="7">
    <tableColumn id="1" xr3:uid="{00000000-0010-0000-0100-000001000000}" name="Island"/>
    <tableColumn id="2" xr3:uid="{00000000-0010-0000-0100-000002000000}" name="State"/>
    <tableColumn id="3" xr3:uid="{00000000-0010-0000-0100-000003000000}" name="Survey year"/>
    <tableColumn id="4" xr3:uid="{00000000-0010-0000-0100-000004000000}" name="Live coral cover (%)"/>
    <tableColumn id="5" xr3:uid="{00000000-0010-0000-0100-000005000000}" name="Observed change (pp/yr)"/>
    <tableColumn id="6" xr3:uid="{00000000-0010-0000-0100-000006000000}" name="Max DHW (context only)"/>
    <tableColumn id="7" xr3:uid="{00000000-0010-0000-0100-000007000000}" name="Source 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odelTable" displayName="ModelTable" ref="A1:D5" totalsRowShown="0">
  <tableColumns count="4">
    <tableColumn id="1" xr3:uid="{00000000-0010-0000-0200-000001000000}" name="Model"/>
    <tableColumn id="2" xr3:uid="{00000000-0010-0000-0200-000002000000}" name="MAE (pp/yr)"/>
    <tableColumn id="3" xr3:uid="{00000000-0010-0000-0200-000003000000}" name="RMSE (pp/yr)"/>
    <tableColumn id="4" xr3:uid="{00000000-0010-0000-0200-000004000000}" name="R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04A"/>
    <pageSetUpPr fitToPage="1"/>
  </sheetPr>
  <dimension ref="A1:M47"/>
  <sheetViews>
    <sheetView showGridLines="0" tabSelected="1" workbookViewId="0"/>
  </sheetViews>
  <sheetFormatPr defaultRowHeight="13.8"/>
  <cols>
    <col min="1" max="1" width="17" customWidth="1"/>
    <col min="2" max="4" width="14" customWidth="1"/>
    <col min="5" max="5" width="34" customWidth="1"/>
    <col min="6" max="13" width="14" customWidth="1"/>
  </cols>
  <sheetData>
    <row r="1" spans="1:1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21">
      <c r="A2" s="10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>
      <c r="A3" s="11" t="s">
        <v>1</v>
      </c>
    </row>
    <row r="5" spans="1:13">
      <c r="A5" s="12" t="s">
        <v>2</v>
      </c>
      <c r="B5" s="13" t="s">
        <v>3</v>
      </c>
      <c r="C5" s="14"/>
      <c r="D5" s="15"/>
      <c r="E5" s="16" t="s">
        <v>4</v>
      </c>
      <c r="F5" s="16"/>
      <c r="G5" s="16"/>
      <c r="H5" s="16"/>
      <c r="I5" s="16"/>
      <c r="J5" s="16"/>
      <c r="K5" s="16"/>
      <c r="L5" s="16"/>
      <c r="M5" s="16"/>
    </row>
    <row r="7" spans="1:13">
      <c r="A7" s="17" t="s">
        <v>5</v>
      </c>
      <c r="B7" s="17"/>
      <c r="C7" s="17"/>
      <c r="D7" s="17" t="s">
        <v>6</v>
      </c>
      <c r="E7" s="17"/>
      <c r="F7" s="17"/>
      <c r="G7" s="17" t="s">
        <v>7</v>
      </c>
      <c r="H7" s="17"/>
      <c r="I7" s="17"/>
      <c r="J7" s="17" t="s">
        <v>8</v>
      </c>
      <c r="K7" s="17"/>
      <c r="L7" s="17"/>
      <c r="M7" s="17"/>
    </row>
    <row r="8" spans="1:13" ht="17.399999999999999">
      <c r="A8" s="20">
        <f>IFERROR(VLOOKUP($B$5,Priority_Data!$A$2:$M$41,4,FALSE),"")</f>
        <v>24.23</v>
      </c>
      <c r="B8" s="18"/>
      <c r="C8" s="18"/>
      <c r="D8" s="21">
        <f>IFERROR(VLOOKUP($B$5,Priority_Data!$A$2:$M$41,5,FALSE),"")</f>
        <v>-7.3449999999999998</v>
      </c>
      <c r="E8" s="21"/>
      <c r="F8" s="21"/>
      <c r="G8" s="21">
        <f>IFERROR(VLOOKUP($B$5,Priority_Data!$A$2:$M$41,7,FALSE),"")</f>
        <v>-14.417288249580414</v>
      </c>
      <c r="H8" s="18"/>
      <c r="I8" s="18"/>
      <c r="J8" s="19" t="str">
        <f>IFERROR(VLOOKUP($B$5,Priority_Data!$A$2:$M$41,10,FALSE),"")</f>
        <v>High screening priority</v>
      </c>
      <c r="K8" s="19"/>
      <c r="L8" s="19"/>
      <c r="M8" s="19"/>
    </row>
    <row r="10" spans="1:13">
      <c r="A10" s="22" t="s">
        <v>9</v>
      </c>
      <c r="B10" s="12" t="str">
        <f>IFERROR(TEXT(VLOOKUP($B$5,Priority_Data!$A$2:$M$41,8,FALSE),"0.0")&amp;" to "&amp;TEXT(VLOOKUP($B$5,Priority_Data!$A$2:$M$41,9,FALSE),"0.0")&amp;" pp/yr","")</f>
        <v>-30.7 to -0.8 pp/yr</v>
      </c>
      <c r="C10" s="12"/>
      <c r="D10" s="12"/>
      <c r="E10" s="16" t="s">
        <v>10</v>
      </c>
      <c r="F10" s="16"/>
      <c r="G10" s="16"/>
      <c r="H10" s="16"/>
      <c r="I10" s="16"/>
      <c r="J10" s="16"/>
      <c r="K10" s="16"/>
      <c r="L10" s="16"/>
      <c r="M10" s="16"/>
    </row>
    <row r="12" spans="1:13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7.950000000000003" customHeight="1">
      <c r="A13" s="28" t="str">
        <f>IFERROR(VLOOKUP($B$5,Priority_Data!$A$2:$M$41,11,FALSE),"")</f>
        <v>NOAA thermal stress observed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5" spans="1:13">
      <c r="A15" s="23" t="s">
        <v>12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42" customHeight="1">
      <c r="A16" s="29" t="str">
        <f>IFERROR(VLOOKUP($B$5,Priority_Data!$A$2:$M$41,12,FALSE),"")</f>
        <v>Coordinate bleaching survey; do not attribute thermal loss to visitors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37" spans="1:13">
      <c r="A37" s="2" t="s">
        <v>13</v>
      </c>
      <c r="B37" s="3" t="s">
        <v>14</v>
      </c>
      <c r="C37" s="3" t="s">
        <v>5</v>
      </c>
      <c r="D37" s="3" t="s">
        <v>15</v>
      </c>
      <c r="E37" s="4" t="s">
        <v>16</v>
      </c>
      <c r="H37" s="2" t="s">
        <v>17</v>
      </c>
      <c r="I37" s="3" t="s">
        <v>18</v>
      </c>
      <c r="J37" s="3" t="s">
        <v>19</v>
      </c>
      <c r="K37" s="4" t="s">
        <v>20</v>
      </c>
    </row>
    <row r="38" spans="1:13" ht="30" customHeight="1">
      <c r="A38" t="str">
        <f>Priority_Data!A2</f>
        <v>Labuan</v>
      </c>
      <c r="B38" t="str">
        <f>Priority_Data!C2</f>
        <v>W.P. Labuan</v>
      </c>
      <c r="C38" s="5">
        <f>Priority_Data!D2</f>
        <v>24.23</v>
      </c>
      <c r="D38" s="5">
        <f>Priority_Data!G2</f>
        <v>-14.417288249580414</v>
      </c>
      <c r="E38" s="6" t="str">
        <f>Priority_Data!K2</f>
        <v>NOAA thermal stress observed</v>
      </c>
      <c r="H38" t="str">
        <f>Model_Check!A2</f>
        <v>Baseline mean</v>
      </c>
      <c r="I38" s="7">
        <f>Model_Check!B2</f>
        <v>5.9909999999999997</v>
      </c>
      <c r="J38" s="7">
        <f>Model_Check!C2</f>
        <v>8.1</v>
      </c>
      <c r="K38" s="7">
        <f>Model_Check!D2</f>
        <v>-1.9E-2</v>
      </c>
    </row>
    <row r="39" spans="1:13" ht="30" customHeight="1">
      <c r="A39" t="str">
        <f>Priority_Data!A3</f>
        <v>Kapas</v>
      </c>
      <c r="B39" t="str">
        <f>Priority_Data!C3</f>
        <v>Terengganu</v>
      </c>
      <c r="C39" s="5">
        <f>Priority_Data!D3</f>
        <v>52.63</v>
      </c>
      <c r="D39" s="5">
        <f>Priority_Data!G3</f>
        <v>-5.7510548358843989</v>
      </c>
      <c r="E39" s="6" t="str">
        <f>Priority_Data!K3</f>
        <v>Modelled decline; no single dominant observed stressor</v>
      </c>
      <c r="H39" t="str">
        <f>Model_Check!A3</f>
        <v>Ridge regression</v>
      </c>
      <c r="I39" s="7">
        <f>Model_Check!B3</f>
        <v>5.99</v>
      </c>
      <c r="J39" s="7">
        <f>Model_Check!C3</f>
        <v>7.9390000000000001</v>
      </c>
      <c r="K39" s="7">
        <f>Model_Check!D3</f>
        <v>2.1000000000000001E-2</v>
      </c>
    </row>
    <row r="40" spans="1:13" ht="30" customHeight="1">
      <c r="A40" t="str">
        <f>Priority_Data!A4</f>
        <v>Seri Buat</v>
      </c>
      <c r="B40" t="str">
        <f>Priority_Data!C4</f>
        <v>Pahang</v>
      </c>
      <c r="C40" s="5">
        <f>Priority_Data!D4</f>
        <v>54.22</v>
      </c>
      <c r="D40" s="5">
        <f>Priority_Data!G4</f>
        <v>-5.1547028837123623</v>
      </c>
      <c r="E40" s="6" t="str">
        <f>Priority_Data!K4</f>
        <v>Anchor impact mentioned in Reef Check report</v>
      </c>
      <c r="H40" t="str">
        <f>Model_Check!A4</f>
        <v>Gradient boosting</v>
      </c>
      <c r="I40" s="7">
        <f>Model_Check!B4</f>
        <v>5.862</v>
      </c>
      <c r="J40" s="7">
        <f>Model_Check!C4</f>
        <v>7.741</v>
      </c>
      <c r="K40" s="7">
        <f>Model_Check!D4</f>
        <v>0.069</v>
      </c>
    </row>
    <row r="41" spans="1:13" ht="30" customHeight="1">
      <c r="A41" t="str">
        <f>Priority_Data!A5</f>
        <v>Mertang</v>
      </c>
      <c r="B41" t="str">
        <f>Priority_Data!C5</f>
        <v>Johor</v>
      </c>
      <c r="C41" s="5">
        <f>Priority_Data!D5</f>
        <v>58.33</v>
      </c>
      <c r="D41" s="5">
        <f>Priority_Data!G5</f>
        <v>-5.0266139003205002</v>
      </c>
      <c r="E41" s="6" t="str">
        <f>Priority_Data!K5</f>
        <v>Anchor impact mentioned in Reef Check report</v>
      </c>
      <c r="H41" t="str">
        <f>Model_Check!A5</f>
        <v>Random forest</v>
      </c>
      <c r="I41" s="7">
        <f>Model_Check!B5</f>
        <v>6.0739999999999998</v>
      </c>
      <c r="J41" s="7">
        <f>Model_Check!C5</f>
        <v>8.016</v>
      </c>
      <c r="K41" s="7">
        <f>Model_Check!D5</f>
        <v>2E-3</v>
      </c>
    </row>
    <row r="42" spans="1:13" ht="30" customHeight="1">
      <c r="A42" t="str">
        <f>Priority_Data!A6</f>
        <v>Mensirip</v>
      </c>
      <c r="B42" t="str">
        <f>Priority_Data!C6</f>
        <v>Johor</v>
      </c>
      <c r="C42" s="5">
        <f>Priority_Data!D6</f>
        <v>54.17</v>
      </c>
      <c r="D42" s="5">
        <f>Priority_Data!G6</f>
        <v>-4.8498589379272889</v>
      </c>
      <c r="E42" s="6" t="str">
        <f>Priority_Data!K6</f>
        <v>Waste or pollution indicator is elevated</v>
      </c>
    </row>
    <row r="43" spans="1:13" ht="30" customHeight="1">
      <c r="A43" t="str">
        <f>Priority_Data!A7</f>
        <v>Tenggol</v>
      </c>
      <c r="B43" t="str">
        <f>Priority_Data!C7</f>
        <v>Terengganu</v>
      </c>
      <c r="C43" s="5">
        <f>Priority_Data!D7</f>
        <v>54.17</v>
      </c>
      <c r="D43" s="5">
        <f>Priority_Data!G7</f>
        <v>-4.6395894547180534</v>
      </c>
      <c r="E43" s="6" t="str">
        <f>Priority_Data!K7</f>
        <v>Waste or pollution indicator is elevated</v>
      </c>
      <c r="H43" s="30" t="s">
        <v>21</v>
      </c>
      <c r="I43" s="30" t="s">
        <v>22</v>
      </c>
      <c r="J43" s="30"/>
      <c r="K43" s="30"/>
      <c r="L43" s="30"/>
      <c r="M43" s="30"/>
    </row>
    <row r="44" spans="1:13" ht="30" customHeight="1">
      <c r="A44" t="str">
        <f>Priority_Data!A8</f>
        <v>Tinggi</v>
      </c>
      <c r="B44" t="str">
        <f>Priority_Data!C8</f>
        <v>Johor</v>
      </c>
      <c r="C44" s="5">
        <f>Priority_Data!D8</f>
        <v>52.5</v>
      </c>
      <c r="D44" s="5">
        <f>Priority_Data!G8</f>
        <v>-4.6252272839816033</v>
      </c>
      <c r="E44" s="6" t="str">
        <f>Priority_Data!K8</f>
        <v>Anchor impact mentioned in Reef Check report</v>
      </c>
      <c r="H44" s="30"/>
      <c r="I44" s="30"/>
      <c r="J44" s="30"/>
      <c r="K44" s="30"/>
      <c r="L44" s="30"/>
      <c r="M44" s="30"/>
    </row>
    <row r="45" spans="1:13" ht="30" customHeight="1">
      <c r="A45" t="str">
        <f>Priority_Data!A9</f>
        <v>Lima</v>
      </c>
      <c r="B45" t="str">
        <f>Priority_Data!C9</f>
        <v>Johor</v>
      </c>
      <c r="C45" s="5">
        <f>Priority_Data!D9</f>
        <v>51.88</v>
      </c>
      <c r="D45" s="5">
        <f>Priority_Data!G9</f>
        <v>-4.3729978691930409</v>
      </c>
      <c r="E45" s="6" t="str">
        <f>Priority_Data!K9</f>
        <v>Anchor impact mentioned in Reef Check report</v>
      </c>
    </row>
    <row r="46" spans="1:13" ht="30" customHeight="1">
      <c r="A46" t="str">
        <f>Priority_Data!A10</f>
        <v>Sibu</v>
      </c>
      <c r="B46" t="str">
        <f>Priority_Data!C10</f>
        <v>Johor</v>
      </c>
      <c r="C46" s="5">
        <f>Priority_Data!D10</f>
        <v>52.81</v>
      </c>
      <c r="D46" s="5">
        <f>Priority_Data!G10</f>
        <v>-4.3361716781234225</v>
      </c>
      <c r="E46" s="6" t="str">
        <f>Priority_Data!K10</f>
        <v>Anchor impact mentioned in Reef Check report</v>
      </c>
    </row>
    <row r="47" spans="1:13" ht="30" customHeight="1">
      <c r="A47" s="24" t="str">
        <f>Priority_Data!A11</f>
        <v>Lankayan</v>
      </c>
      <c r="B47" s="24" t="str">
        <f>Priority_Data!C11</f>
        <v>Sabah</v>
      </c>
      <c r="C47" s="25">
        <f>Priority_Data!D11</f>
        <v>51.04</v>
      </c>
      <c r="D47" s="25">
        <f>Priority_Data!G11</f>
        <v>-4.0730635753730926</v>
      </c>
      <c r="E47" s="26" t="str">
        <f>Priority_Data!K11</f>
        <v>NOAA thermal stress observed</v>
      </c>
    </row>
  </sheetData>
  <mergeCells count="4">
    <mergeCell ref="A13:M13"/>
    <mergeCell ref="A16:M16"/>
    <mergeCell ref="H43:H44"/>
    <mergeCell ref="I43:M44"/>
  </mergeCell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Priority_Data!$A$2:$A$41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E8C"/>
  </sheetPr>
  <dimension ref="A1:M41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8" customWidth="1"/>
    <col min="2" max="2" width="8" customWidth="1"/>
    <col min="3" max="3" width="14" customWidth="1"/>
    <col min="4" max="10" width="19" customWidth="1"/>
    <col min="11" max="13" width="42" customWidth="1"/>
  </cols>
  <sheetData>
    <row r="1" spans="1:13">
      <c r="A1" s="2" t="s">
        <v>13</v>
      </c>
      <c r="B1" s="3" t="s">
        <v>23</v>
      </c>
      <c r="C1" s="3" t="s">
        <v>14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16</v>
      </c>
      <c r="L1" s="3" t="s">
        <v>12</v>
      </c>
      <c r="M1" s="4" t="s">
        <v>31</v>
      </c>
    </row>
    <row r="2" spans="1:13" ht="27.6">
      <c r="A2" t="s">
        <v>3</v>
      </c>
      <c r="B2">
        <v>1</v>
      </c>
      <c r="C2" t="s">
        <v>32</v>
      </c>
      <c r="D2" s="5">
        <v>24.23</v>
      </c>
      <c r="E2" s="5">
        <v>-7.3449999999999998</v>
      </c>
      <c r="F2" s="5">
        <v>4.04</v>
      </c>
      <c r="G2" s="5">
        <v>-14.417288249580414</v>
      </c>
      <c r="H2" s="5">
        <v>-30.67167372568418</v>
      </c>
      <c r="I2" s="5">
        <v>-0.75527129025057249</v>
      </c>
      <c r="J2" t="s">
        <v>33</v>
      </c>
      <c r="K2" s="6" t="s">
        <v>34</v>
      </c>
      <c r="L2" s="6" t="s">
        <v>35</v>
      </c>
      <c r="M2" s="6" t="s">
        <v>36</v>
      </c>
    </row>
    <row r="3" spans="1:13" ht="27.6">
      <c r="A3" t="s">
        <v>37</v>
      </c>
      <c r="B3">
        <v>2</v>
      </c>
      <c r="C3" t="s">
        <v>38</v>
      </c>
      <c r="D3" s="5">
        <v>52.63</v>
      </c>
      <c r="E3" s="5">
        <v>5.1100000000000003</v>
      </c>
      <c r="F3" s="5">
        <v>2.0499999999999998</v>
      </c>
      <c r="G3" s="5">
        <v>-5.7510548358843989</v>
      </c>
      <c r="H3" s="5">
        <v>-22.005440311988163</v>
      </c>
      <c r="I3" s="5">
        <v>7.9109621234454428</v>
      </c>
      <c r="J3" t="s">
        <v>33</v>
      </c>
      <c r="K3" s="6" t="s">
        <v>39</v>
      </c>
      <c r="L3" s="6" t="s">
        <v>40</v>
      </c>
      <c r="M3" s="6" t="s">
        <v>41</v>
      </c>
    </row>
    <row r="4" spans="1:13">
      <c r="A4" t="s">
        <v>42</v>
      </c>
      <c r="B4">
        <v>3</v>
      </c>
      <c r="C4" t="s">
        <v>43</v>
      </c>
      <c r="D4" s="5">
        <v>54.22</v>
      </c>
      <c r="E4" s="5">
        <v>-7.84</v>
      </c>
      <c r="F4" s="5">
        <v>2.0499999999999998</v>
      </c>
      <c r="G4" s="5">
        <v>-5.1547028837123623</v>
      </c>
      <c r="H4" s="5">
        <v>-21.409088359816124</v>
      </c>
      <c r="I4" s="5">
        <v>8.5073140756174794</v>
      </c>
      <c r="J4" t="s">
        <v>33</v>
      </c>
      <c r="K4" s="6" t="s">
        <v>44</v>
      </c>
      <c r="L4" s="6" t="s">
        <v>45</v>
      </c>
      <c r="M4" s="6" t="s">
        <v>41</v>
      </c>
    </row>
    <row r="5" spans="1:13">
      <c r="A5" t="s">
        <v>46</v>
      </c>
      <c r="B5">
        <v>4</v>
      </c>
      <c r="C5" t="s">
        <v>47</v>
      </c>
      <c r="D5" s="5">
        <v>58.33</v>
      </c>
      <c r="E5" s="5">
        <v>-11.25</v>
      </c>
      <c r="F5" s="5">
        <v>1.88</v>
      </c>
      <c r="G5" s="5">
        <v>-5.0266139003205002</v>
      </c>
      <c r="H5" s="5">
        <v>-21.280999376424262</v>
      </c>
      <c r="I5" s="5">
        <v>8.6354030590093416</v>
      </c>
      <c r="J5" t="s">
        <v>33</v>
      </c>
      <c r="K5" s="6" t="s">
        <v>44</v>
      </c>
      <c r="L5" s="6" t="s">
        <v>45</v>
      </c>
      <c r="M5" s="6" t="s">
        <v>41</v>
      </c>
    </row>
    <row r="6" spans="1:13">
      <c r="A6" t="s">
        <v>48</v>
      </c>
      <c r="B6">
        <v>5</v>
      </c>
      <c r="C6" t="s">
        <v>47</v>
      </c>
      <c r="D6" s="5">
        <v>54.17</v>
      </c>
      <c r="E6" s="5">
        <v>-4.66</v>
      </c>
      <c r="F6" s="5">
        <v>1.88</v>
      </c>
      <c r="G6" s="5">
        <v>-4.8498589379272889</v>
      </c>
      <c r="H6" s="5">
        <v>-21.104244414031051</v>
      </c>
      <c r="I6" s="5">
        <v>8.8121580214025528</v>
      </c>
      <c r="J6" t="s">
        <v>33</v>
      </c>
      <c r="K6" s="6" t="s">
        <v>49</v>
      </c>
      <c r="L6" s="6" t="s">
        <v>50</v>
      </c>
      <c r="M6" s="6" t="s">
        <v>41</v>
      </c>
    </row>
    <row r="7" spans="1:13">
      <c r="A7" t="s">
        <v>51</v>
      </c>
      <c r="B7">
        <v>6</v>
      </c>
      <c r="C7" t="s">
        <v>38</v>
      </c>
      <c r="D7" s="5">
        <v>54.17</v>
      </c>
      <c r="E7" s="5">
        <v>-2.91</v>
      </c>
      <c r="F7" s="5">
        <v>2.0499999999999998</v>
      </c>
      <c r="G7" s="5">
        <v>-4.6395894547180534</v>
      </c>
      <c r="H7" s="5">
        <v>-20.893974930821816</v>
      </c>
      <c r="I7" s="5">
        <v>9.0224275046117874</v>
      </c>
      <c r="J7" t="s">
        <v>33</v>
      </c>
      <c r="K7" s="6" t="s">
        <v>49</v>
      </c>
      <c r="L7" s="6" t="s">
        <v>50</v>
      </c>
      <c r="M7" s="6" t="s">
        <v>41</v>
      </c>
    </row>
    <row r="8" spans="1:13">
      <c r="A8" t="s">
        <v>52</v>
      </c>
      <c r="B8">
        <v>7</v>
      </c>
      <c r="C8" t="s">
        <v>47</v>
      </c>
      <c r="D8" s="5">
        <v>52.5</v>
      </c>
      <c r="E8" s="5">
        <v>-4.22</v>
      </c>
      <c r="F8" s="5">
        <v>1.88</v>
      </c>
      <c r="G8" s="5">
        <v>-4.6252272839816033</v>
      </c>
      <c r="H8" s="5">
        <v>-20.879612760085365</v>
      </c>
      <c r="I8" s="5">
        <v>9.0367896753482384</v>
      </c>
      <c r="J8" t="s">
        <v>33</v>
      </c>
      <c r="K8" s="6" t="s">
        <v>44</v>
      </c>
      <c r="L8" s="6" t="s">
        <v>45</v>
      </c>
      <c r="M8" s="6" t="s">
        <v>41</v>
      </c>
    </row>
    <row r="9" spans="1:13">
      <c r="A9" t="s">
        <v>53</v>
      </c>
      <c r="B9">
        <v>8</v>
      </c>
      <c r="C9" t="s">
        <v>47</v>
      </c>
      <c r="D9" s="5">
        <v>51.88</v>
      </c>
      <c r="E9" s="5">
        <v>-10.4</v>
      </c>
      <c r="F9" s="5">
        <v>1.88</v>
      </c>
      <c r="G9" s="5">
        <v>-4.3729978691930409</v>
      </c>
      <c r="H9" s="5">
        <v>-20.627383345296806</v>
      </c>
      <c r="I9" s="5">
        <v>9.2890190901368008</v>
      </c>
      <c r="J9" t="s">
        <v>33</v>
      </c>
      <c r="K9" s="6" t="s">
        <v>44</v>
      </c>
      <c r="L9" s="6" t="s">
        <v>45</v>
      </c>
      <c r="M9" s="6" t="s">
        <v>41</v>
      </c>
    </row>
    <row r="10" spans="1:13">
      <c r="A10" t="s">
        <v>54</v>
      </c>
      <c r="B10">
        <v>9</v>
      </c>
      <c r="C10" t="s">
        <v>47</v>
      </c>
      <c r="D10" s="5">
        <v>52.81</v>
      </c>
      <c r="E10" s="5">
        <v>2.08</v>
      </c>
      <c r="F10" s="5">
        <v>1.88</v>
      </c>
      <c r="G10" s="5">
        <v>-4.3361716781234225</v>
      </c>
      <c r="H10" s="5">
        <v>-20.590557154227184</v>
      </c>
      <c r="I10" s="5">
        <v>9.3258452812064192</v>
      </c>
      <c r="J10" t="s">
        <v>33</v>
      </c>
      <c r="K10" s="6" t="s">
        <v>44</v>
      </c>
      <c r="L10" s="6" t="s">
        <v>45</v>
      </c>
      <c r="M10" s="6" t="s">
        <v>41</v>
      </c>
    </row>
    <row r="11" spans="1:13" ht="27.6">
      <c r="A11" t="s">
        <v>55</v>
      </c>
      <c r="B11">
        <v>10</v>
      </c>
      <c r="C11" t="s">
        <v>56</v>
      </c>
      <c r="D11" s="5">
        <v>51.04</v>
      </c>
      <c r="E11" s="5">
        <v>1.51</v>
      </c>
      <c r="F11" s="5">
        <v>4.04</v>
      </c>
      <c r="G11" s="5">
        <v>-4.0730635753730926</v>
      </c>
      <c r="H11" s="5">
        <v>-20.327449051476854</v>
      </c>
      <c r="I11" s="5">
        <v>9.5889533839567491</v>
      </c>
      <c r="J11" t="s">
        <v>33</v>
      </c>
      <c r="K11" s="6" t="s">
        <v>34</v>
      </c>
      <c r="L11" s="6" t="s">
        <v>35</v>
      </c>
      <c r="M11" s="6" t="s">
        <v>41</v>
      </c>
    </row>
    <row r="12" spans="1:13" ht="27.6">
      <c r="A12" t="s">
        <v>57</v>
      </c>
      <c r="B12">
        <v>11</v>
      </c>
      <c r="C12" t="s">
        <v>56</v>
      </c>
      <c r="D12" s="5">
        <v>55.21</v>
      </c>
      <c r="E12" s="5">
        <v>-8.08</v>
      </c>
      <c r="F12" s="5">
        <v>4.04</v>
      </c>
      <c r="G12" s="5">
        <v>-4.0610458028197574</v>
      </c>
      <c r="H12" s="5">
        <v>-20.315431278923519</v>
      </c>
      <c r="I12" s="5">
        <v>9.6009711565100844</v>
      </c>
      <c r="J12" t="s">
        <v>58</v>
      </c>
      <c r="K12" s="6" t="s">
        <v>34</v>
      </c>
      <c r="L12" s="6" t="s">
        <v>35</v>
      </c>
      <c r="M12" s="6" t="s">
        <v>41</v>
      </c>
    </row>
    <row r="13" spans="1:13" ht="27.6">
      <c r="A13" t="s">
        <v>59</v>
      </c>
      <c r="B13">
        <v>12</v>
      </c>
      <c r="C13" t="s">
        <v>56</v>
      </c>
      <c r="D13" s="5">
        <v>51.77</v>
      </c>
      <c r="E13" s="5">
        <v>-4.01</v>
      </c>
      <c r="F13" s="5">
        <v>4.04</v>
      </c>
      <c r="G13" s="5">
        <v>-3.9730662979087525</v>
      </c>
      <c r="H13" s="5">
        <v>-20.227451774012515</v>
      </c>
      <c r="I13" s="5">
        <v>9.6889506614210887</v>
      </c>
      <c r="J13" t="s">
        <v>58</v>
      </c>
      <c r="K13" s="6" t="s">
        <v>34</v>
      </c>
      <c r="L13" s="6" t="s">
        <v>35</v>
      </c>
      <c r="M13" s="6" t="s">
        <v>41</v>
      </c>
    </row>
    <row r="14" spans="1:13" ht="27.6">
      <c r="A14" t="s">
        <v>60</v>
      </c>
      <c r="B14">
        <v>13</v>
      </c>
      <c r="C14" t="s">
        <v>56</v>
      </c>
      <c r="D14" s="5">
        <v>50.88</v>
      </c>
      <c r="E14" s="5">
        <v>-7.62</v>
      </c>
      <c r="F14" s="5">
        <v>4.04</v>
      </c>
      <c r="G14" s="5">
        <v>-3.4353759847238763</v>
      </c>
      <c r="H14" s="5">
        <v>-19.68976146082764</v>
      </c>
      <c r="I14" s="5">
        <v>10.226640974605965</v>
      </c>
      <c r="J14" t="s">
        <v>58</v>
      </c>
      <c r="K14" s="6" t="s">
        <v>34</v>
      </c>
      <c r="L14" s="6" t="s">
        <v>35</v>
      </c>
      <c r="M14" s="6" t="s">
        <v>41</v>
      </c>
    </row>
    <row r="15" spans="1:13">
      <c r="A15" t="s">
        <v>61</v>
      </c>
      <c r="B15">
        <v>14</v>
      </c>
      <c r="C15" t="s">
        <v>47</v>
      </c>
      <c r="D15" s="5">
        <v>48.96</v>
      </c>
      <c r="E15" s="5">
        <v>-11.31</v>
      </c>
      <c r="F15" s="5">
        <v>1.88</v>
      </c>
      <c r="G15" s="5">
        <v>-3.1494546809297406</v>
      </c>
      <c r="H15" s="5">
        <v>-19.403840157033503</v>
      </c>
      <c r="I15" s="5">
        <v>10.5125622784001</v>
      </c>
      <c r="J15" t="s">
        <v>58</v>
      </c>
      <c r="K15" s="6" t="s">
        <v>49</v>
      </c>
      <c r="L15" s="6" t="s">
        <v>50</v>
      </c>
      <c r="M15" s="6" t="s">
        <v>41</v>
      </c>
    </row>
    <row r="16" spans="1:13">
      <c r="A16" t="s">
        <v>62</v>
      </c>
      <c r="B16">
        <v>15</v>
      </c>
      <c r="C16" t="s">
        <v>47</v>
      </c>
      <c r="D16" s="5">
        <v>45.73</v>
      </c>
      <c r="E16" s="5">
        <v>-2.2200000000000002</v>
      </c>
      <c r="F16" s="5">
        <v>1.88</v>
      </c>
      <c r="G16" s="5">
        <v>-3.0251097296494791</v>
      </c>
      <c r="H16" s="5">
        <v>-19.279495205753243</v>
      </c>
      <c r="I16" s="5">
        <v>10.636907229680363</v>
      </c>
      <c r="J16" t="s">
        <v>58</v>
      </c>
      <c r="K16" s="6" t="s">
        <v>49</v>
      </c>
      <c r="L16" s="6" t="s">
        <v>50</v>
      </c>
      <c r="M16" s="6" t="s">
        <v>41</v>
      </c>
    </row>
    <row r="17" spans="1:13">
      <c r="A17" t="s">
        <v>63</v>
      </c>
      <c r="B17">
        <v>16</v>
      </c>
      <c r="C17" t="s">
        <v>47</v>
      </c>
      <c r="D17" s="5">
        <v>48.85</v>
      </c>
      <c r="E17" s="5">
        <v>-7.68</v>
      </c>
      <c r="F17" s="5">
        <v>1.88</v>
      </c>
      <c r="G17" s="5">
        <v>-2.9055323888925804</v>
      </c>
      <c r="H17" s="5">
        <v>-19.159917864996345</v>
      </c>
      <c r="I17" s="5">
        <v>10.756484570437262</v>
      </c>
      <c r="J17" t="s">
        <v>58</v>
      </c>
      <c r="K17" s="6" t="s">
        <v>49</v>
      </c>
      <c r="L17" s="6" t="s">
        <v>50</v>
      </c>
      <c r="M17" s="6" t="s">
        <v>41</v>
      </c>
    </row>
    <row r="18" spans="1:13">
      <c r="A18" t="s">
        <v>64</v>
      </c>
      <c r="B18">
        <v>17</v>
      </c>
      <c r="C18" t="s">
        <v>47</v>
      </c>
      <c r="D18" s="5">
        <v>45.31</v>
      </c>
      <c r="E18" s="5">
        <v>-10.45</v>
      </c>
      <c r="F18" s="5">
        <v>1.88</v>
      </c>
      <c r="G18" s="5">
        <v>-2.8399960272108564</v>
      </c>
      <c r="H18" s="5">
        <v>-19.094381503314619</v>
      </c>
      <c r="I18" s="5">
        <v>10.822020932118985</v>
      </c>
      <c r="J18" t="s">
        <v>58</v>
      </c>
      <c r="K18" s="6" t="s">
        <v>49</v>
      </c>
      <c r="L18" s="6" t="s">
        <v>50</v>
      </c>
      <c r="M18" s="6" t="s">
        <v>41</v>
      </c>
    </row>
    <row r="19" spans="1:13" ht="27.6">
      <c r="A19" t="s">
        <v>65</v>
      </c>
      <c r="B19">
        <v>18</v>
      </c>
      <c r="C19" t="s">
        <v>56</v>
      </c>
      <c r="D19" s="5">
        <v>37.770000000000003</v>
      </c>
      <c r="E19" s="5">
        <v>-1.53</v>
      </c>
      <c r="F19" s="5">
        <v>4.04</v>
      </c>
      <c r="G19" s="5">
        <v>-2.7584536026832391</v>
      </c>
      <c r="H19" s="5">
        <v>-19.012839078787003</v>
      </c>
      <c r="I19" s="5">
        <v>10.903563356646602</v>
      </c>
      <c r="J19" t="s">
        <v>58</v>
      </c>
      <c r="K19" s="6" t="s">
        <v>34</v>
      </c>
      <c r="L19" s="6" t="s">
        <v>35</v>
      </c>
      <c r="M19" s="6" t="s">
        <v>36</v>
      </c>
    </row>
    <row r="20" spans="1:13" ht="27.6">
      <c r="A20" t="s">
        <v>66</v>
      </c>
      <c r="B20">
        <v>19</v>
      </c>
      <c r="C20" t="s">
        <v>67</v>
      </c>
      <c r="D20" s="5">
        <v>42.29</v>
      </c>
      <c r="E20" s="5">
        <v>-6.84</v>
      </c>
      <c r="F20" s="5">
        <v>1.94</v>
      </c>
      <c r="G20" s="5">
        <v>-2.7535216646524381</v>
      </c>
      <c r="H20" s="5">
        <v>-19.007907140756203</v>
      </c>
      <c r="I20" s="5">
        <v>10.908495294677405</v>
      </c>
      <c r="J20" t="s">
        <v>58</v>
      </c>
      <c r="K20" s="6" t="s">
        <v>39</v>
      </c>
      <c r="L20" s="6" t="s">
        <v>40</v>
      </c>
      <c r="M20" s="6" t="s">
        <v>41</v>
      </c>
    </row>
    <row r="21" spans="1:13" ht="27.6">
      <c r="A21" t="s">
        <v>68</v>
      </c>
      <c r="B21">
        <v>20</v>
      </c>
      <c r="C21" t="s">
        <v>56</v>
      </c>
      <c r="D21" s="5">
        <v>41.42</v>
      </c>
      <c r="E21" s="5">
        <v>5.73</v>
      </c>
      <c r="F21" s="5">
        <v>4.04</v>
      </c>
      <c r="G21" s="5">
        <v>-2.6757231591395958</v>
      </c>
      <c r="H21" s="5">
        <v>-18.930108635243361</v>
      </c>
      <c r="I21" s="5">
        <v>10.986293800190246</v>
      </c>
      <c r="J21" t="s">
        <v>58</v>
      </c>
      <c r="K21" s="6" t="s">
        <v>34</v>
      </c>
      <c r="L21" s="6" t="s">
        <v>35</v>
      </c>
      <c r="M21" s="6" t="s">
        <v>41</v>
      </c>
    </row>
    <row r="22" spans="1:13" ht="27.6">
      <c r="A22" t="s">
        <v>69</v>
      </c>
      <c r="B22">
        <v>21</v>
      </c>
      <c r="C22" t="s">
        <v>56</v>
      </c>
      <c r="D22" s="5">
        <v>40.35</v>
      </c>
      <c r="E22" s="5">
        <v>-4.4800000000000004</v>
      </c>
      <c r="F22" s="5">
        <v>4.04</v>
      </c>
      <c r="G22" s="5">
        <v>-2.4018311478189034</v>
      </c>
      <c r="H22" s="5">
        <v>-18.656216623922667</v>
      </c>
      <c r="I22" s="5">
        <v>11.260185811510938</v>
      </c>
      <c r="J22" t="s">
        <v>58</v>
      </c>
      <c r="K22" s="6" t="s">
        <v>34</v>
      </c>
      <c r="L22" s="6" t="s">
        <v>35</v>
      </c>
      <c r="M22" s="6" t="s">
        <v>41</v>
      </c>
    </row>
    <row r="23" spans="1:13">
      <c r="A23" t="s">
        <v>70</v>
      </c>
      <c r="B23">
        <v>22</v>
      </c>
      <c r="C23" t="s">
        <v>47</v>
      </c>
      <c r="D23" s="5">
        <v>41.77</v>
      </c>
      <c r="E23" s="5">
        <v>-4.83</v>
      </c>
      <c r="F23" s="5">
        <v>1.88</v>
      </c>
      <c r="G23" s="5">
        <v>-2.3053765525554448</v>
      </c>
      <c r="H23" s="5">
        <v>-18.559762028659208</v>
      </c>
      <c r="I23" s="5">
        <v>11.356640406774396</v>
      </c>
      <c r="J23" t="s">
        <v>58</v>
      </c>
      <c r="K23" s="6" t="s">
        <v>44</v>
      </c>
      <c r="L23" s="6" t="s">
        <v>45</v>
      </c>
      <c r="M23" s="6" t="s">
        <v>41</v>
      </c>
    </row>
    <row r="24" spans="1:13">
      <c r="A24" t="s">
        <v>71</v>
      </c>
      <c r="B24">
        <v>23</v>
      </c>
      <c r="C24" t="s">
        <v>47</v>
      </c>
      <c r="D24" s="5">
        <v>43.75</v>
      </c>
      <c r="E24" s="5">
        <v>-3.75</v>
      </c>
      <c r="F24" s="5">
        <v>1.88</v>
      </c>
      <c r="G24" s="5">
        <v>-2.2655422927152866</v>
      </c>
      <c r="H24" s="5">
        <v>-18.519927768819052</v>
      </c>
      <c r="I24" s="5">
        <v>11.396474666614555</v>
      </c>
      <c r="J24" t="s">
        <v>58</v>
      </c>
      <c r="K24" s="6" t="s">
        <v>49</v>
      </c>
      <c r="L24" s="6" t="s">
        <v>50</v>
      </c>
      <c r="M24" s="6" t="s">
        <v>41</v>
      </c>
    </row>
    <row r="25" spans="1:13">
      <c r="A25" t="s">
        <v>72</v>
      </c>
      <c r="B25">
        <v>24</v>
      </c>
      <c r="C25" t="s">
        <v>47</v>
      </c>
      <c r="D25" s="5">
        <v>43.04</v>
      </c>
      <c r="E25" s="5">
        <v>0.63</v>
      </c>
      <c r="F25" s="5">
        <v>1.88</v>
      </c>
      <c r="G25" s="5">
        <v>-2.211998726662781</v>
      </c>
      <c r="H25" s="5">
        <v>-18.466384202766545</v>
      </c>
      <c r="I25" s="5">
        <v>11.450018232667061</v>
      </c>
      <c r="J25" t="s">
        <v>58</v>
      </c>
      <c r="K25" s="6" t="s">
        <v>44</v>
      </c>
      <c r="L25" s="6" t="s">
        <v>45</v>
      </c>
      <c r="M25" s="6" t="s">
        <v>41</v>
      </c>
    </row>
    <row r="26" spans="1:13" ht="27.6">
      <c r="A26" t="s">
        <v>73</v>
      </c>
      <c r="B26">
        <v>25</v>
      </c>
      <c r="C26" t="s">
        <v>56</v>
      </c>
      <c r="D26" s="5">
        <v>15.94</v>
      </c>
      <c r="E26" s="5">
        <v>-16.5</v>
      </c>
      <c r="F26" s="5">
        <v>4.04</v>
      </c>
      <c r="G26" s="5">
        <v>-2.1761258242965917</v>
      </c>
      <c r="H26" s="5">
        <v>-18.430511300400354</v>
      </c>
      <c r="I26" s="5">
        <v>11.485891135033249</v>
      </c>
      <c r="J26" t="s">
        <v>58</v>
      </c>
      <c r="K26" s="6" t="s">
        <v>34</v>
      </c>
      <c r="L26" s="6" t="s">
        <v>35</v>
      </c>
      <c r="M26" s="6" t="s">
        <v>41</v>
      </c>
    </row>
    <row r="27" spans="1:13">
      <c r="A27" t="s">
        <v>74</v>
      </c>
      <c r="B27">
        <v>26</v>
      </c>
      <c r="C27" t="s">
        <v>75</v>
      </c>
      <c r="D27" s="5">
        <v>35.01</v>
      </c>
      <c r="E27" s="5">
        <v>-7.5</v>
      </c>
      <c r="F27" s="5">
        <v>2.0499999999999998</v>
      </c>
      <c r="G27" s="5">
        <v>-2.0251321151123203</v>
      </c>
      <c r="H27" s="5">
        <v>-18.279517591216084</v>
      </c>
      <c r="I27" s="5">
        <v>11.636884844217521</v>
      </c>
      <c r="J27" t="s">
        <v>58</v>
      </c>
      <c r="K27" s="6" t="s">
        <v>44</v>
      </c>
      <c r="L27" s="6" t="s">
        <v>45</v>
      </c>
      <c r="M27" s="6" t="s">
        <v>36</v>
      </c>
    </row>
    <row r="28" spans="1:13">
      <c r="A28" t="s">
        <v>76</v>
      </c>
      <c r="B28">
        <v>27</v>
      </c>
      <c r="C28" t="s">
        <v>47</v>
      </c>
      <c r="D28" s="5">
        <v>35.42</v>
      </c>
      <c r="E28" s="5">
        <v>-2.61</v>
      </c>
      <c r="F28" s="5">
        <v>1.88</v>
      </c>
      <c r="G28" s="5">
        <v>-1.9166614591748918</v>
      </c>
      <c r="H28" s="5">
        <v>-18.171046935278657</v>
      </c>
      <c r="I28" s="5">
        <v>11.74535550015495</v>
      </c>
      <c r="J28" t="s">
        <v>58</v>
      </c>
      <c r="K28" s="6" t="s">
        <v>44</v>
      </c>
      <c r="L28" s="6" t="s">
        <v>45</v>
      </c>
      <c r="M28" s="6" t="s">
        <v>36</v>
      </c>
    </row>
    <row r="29" spans="1:13">
      <c r="A29" t="s">
        <v>77</v>
      </c>
      <c r="B29">
        <v>28</v>
      </c>
      <c r="C29" t="s">
        <v>43</v>
      </c>
      <c r="D29" s="5">
        <v>42.99</v>
      </c>
      <c r="E29" s="5">
        <v>-15.3</v>
      </c>
      <c r="F29" s="5">
        <v>1.88</v>
      </c>
      <c r="G29" s="5">
        <v>-1.6330955418541313</v>
      </c>
      <c r="H29" s="5">
        <v>-17.887481017957896</v>
      </c>
      <c r="I29" s="5">
        <v>12.028921417475711</v>
      </c>
      <c r="J29" t="s">
        <v>58</v>
      </c>
      <c r="K29" s="6" t="s">
        <v>44</v>
      </c>
      <c r="L29" s="6" t="s">
        <v>45</v>
      </c>
      <c r="M29" s="6" t="s">
        <v>41</v>
      </c>
    </row>
    <row r="30" spans="1:13" ht="27.6">
      <c r="A30" t="s">
        <v>78</v>
      </c>
      <c r="B30">
        <v>29</v>
      </c>
      <c r="C30" t="s">
        <v>56</v>
      </c>
      <c r="D30" s="5">
        <v>21.52</v>
      </c>
      <c r="E30" s="5">
        <v>-1.1499999999999999</v>
      </c>
      <c r="F30" s="5">
        <v>4.04</v>
      </c>
      <c r="G30" s="5">
        <v>-1.5732425039281994</v>
      </c>
      <c r="H30" s="5">
        <v>-17.827627980031963</v>
      </c>
      <c r="I30" s="5">
        <v>12.088774455401643</v>
      </c>
      <c r="J30" t="s">
        <v>58</v>
      </c>
      <c r="K30" s="6" t="s">
        <v>34</v>
      </c>
      <c r="L30" s="6" t="s">
        <v>35</v>
      </c>
      <c r="M30" s="6" t="s">
        <v>41</v>
      </c>
    </row>
    <row r="31" spans="1:13" ht="27.6">
      <c r="A31" t="s">
        <v>79</v>
      </c>
      <c r="B31">
        <v>30</v>
      </c>
      <c r="C31" t="s">
        <v>38</v>
      </c>
      <c r="D31" s="5">
        <v>27.92</v>
      </c>
      <c r="E31" s="5">
        <v>-0.37</v>
      </c>
      <c r="F31" s="5">
        <v>2.0499999999999998</v>
      </c>
      <c r="G31" s="5">
        <v>-1.1947556438251963</v>
      </c>
      <c r="H31" s="5">
        <v>-17.44914111992896</v>
      </c>
      <c r="I31" s="5">
        <v>12.467261315504645</v>
      </c>
      <c r="J31" t="s">
        <v>58</v>
      </c>
      <c r="K31" s="6" t="s">
        <v>39</v>
      </c>
      <c r="L31" s="6" t="s">
        <v>40</v>
      </c>
      <c r="M31" s="6" t="s">
        <v>41</v>
      </c>
    </row>
    <row r="32" spans="1:13">
      <c r="A32" t="s">
        <v>80</v>
      </c>
      <c r="B32">
        <v>31</v>
      </c>
      <c r="C32" t="s">
        <v>38</v>
      </c>
      <c r="D32" s="5">
        <v>25.89</v>
      </c>
      <c r="E32" s="5">
        <v>-3.28</v>
      </c>
      <c r="F32" s="5">
        <v>2.0499999999999998</v>
      </c>
      <c r="G32" s="5">
        <v>-1.109083024189587</v>
      </c>
      <c r="H32" s="5">
        <v>-17.363468500293351</v>
      </c>
      <c r="I32" s="5">
        <v>12.552933935140254</v>
      </c>
      <c r="J32" t="s">
        <v>58</v>
      </c>
      <c r="K32" s="6" t="s">
        <v>49</v>
      </c>
      <c r="L32" s="6" t="s">
        <v>50</v>
      </c>
      <c r="M32" s="6" t="s">
        <v>41</v>
      </c>
    </row>
    <row r="33" spans="1:13">
      <c r="A33" t="s">
        <v>81</v>
      </c>
      <c r="B33">
        <v>32</v>
      </c>
      <c r="C33" t="s">
        <v>38</v>
      </c>
      <c r="D33" s="5">
        <v>32.44</v>
      </c>
      <c r="E33" s="5">
        <v>-6.75</v>
      </c>
      <c r="F33" s="5">
        <v>2.0499999999999998</v>
      </c>
      <c r="G33" s="5">
        <v>-1.0796533079650468</v>
      </c>
      <c r="H33" s="5">
        <v>-17.334038784068809</v>
      </c>
      <c r="I33" s="5">
        <v>12.582363651364794</v>
      </c>
      <c r="J33" t="s">
        <v>58</v>
      </c>
      <c r="K33" s="6" t="s">
        <v>49</v>
      </c>
      <c r="L33" s="6" t="s">
        <v>50</v>
      </c>
      <c r="M33" s="6" t="s">
        <v>41</v>
      </c>
    </row>
    <row r="34" spans="1:13" ht="27.6">
      <c r="A34" t="s">
        <v>82</v>
      </c>
      <c r="B34">
        <v>33</v>
      </c>
      <c r="C34" t="s">
        <v>56</v>
      </c>
      <c r="D34" s="5">
        <v>13.12</v>
      </c>
      <c r="E34" s="5">
        <v>-0.86</v>
      </c>
      <c r="F34" s="5">
        <v>4.04</v>
      </c>
      <c r="G34" s="5">
        <v>-1.0585788901734219</v>
      </c>
      <c r="H34" s="5">
        <v>-17.312964366277185</v>
      </c>
      <c r="I34" s="5">
        <v>12.60343806915642</v>
      </c>
      <c r="J34" t="s">
        <v>58</v>
      </c>
      <c r="K34" s="6" t="s">
        <v>34</v>
      </c>
      <c r="L34" s="6" t="s">
        <v>35</v>
      </c>
      <c r="M34" s="6" t="s">
        <v>36</v>
      </c>
    </row>
    <row r="35" spans="1:13" ht="27.6">
      <c r="A35" t="s">
        <v>83</v>
      </c>
      <c r="B35">
        <v>34</v>
      </c>
      <c r="C35" t="s">
        <v>56</v>
      </c>
      <c r="D35" s="5">
        <v>28.75</v>
      </c>
      <c r="E35" s="5">
        <v>1.86</v>
      </c>
      <c r="F35" s="5">
        <v>4.04</v>
      </c>
      <c r="G35" s="5">
        <v>-1.0290807903214669</v>
      </c>
      <c r="H35" s="5">
        <v>-17.283466266425229</v>
      </c>
      <c r="I35" s="5">
        <v>12.632936169008374</v>
      </c>
      <c r="J35" t="s">
        <v>58</v>
      </c>
      <c r="K35" s="6" t="s">
        <v>34</v>
      </c>
      <c r="L35" s="6" t="s">
        <v>35</v>
      </c>
      <c r="M35" s="6" t="s">
        <v>41</v>
      </c>
    </row>
    <row r="36" spans="1:13">
      <c r="A36" t="s">
        <v>84</v>
      </c>
      <c r="B36">
        <v>35</v>
      </c>
      <c r="C36" t="s">
        <v>38</v>
      </c>
      <c r="D36" s="5">
        <v>26.72</v>
      </c>
      <c r="E36" s="5">
        <v>-9.99</v>
      </c>
      <c r="F36" s="5">
        <v>2.0499999999999998</v>
      </c>
      <c r="G36" s="5">
        <v>-0.77827895166033023</v>
      </c>
      <c r="H36" s="5">
        <v>-17.032664427764093</v>
      </c>
      <c r="I36" s="5">
        <v>12.883738007669512</v>
      </c>
      <c r="J36" t="s">
        <v>58</v>
      </c>
      <c r="K36" s="6" t="s">
        <v>44</v>
      </c>
      <c r="L36" s="6" t="s">
        <v>45</v>
      </c>
      <c r="M36" s="6" t="s">
        <v>41</v>
      </c>
    </row>
    <row r="37" spans="1:13">
      <c r="A37" t="s">
        <v>86</v>
      </c>
      <c r="B37">
        <v>36</v>
      </c>
      <c r="C37" t="s">
        <v>38</v>
      </c>
      <c r="D37" s="5">
        <v>48.02</v>
      </c>
      <c r="E37" s="5">
        <v>-11.25</v>
      </c>
      <c r="F37" s="5">
        <v>2.0499999999999998</v>
      </c>
      <c r="G37" s="5">
        <v>-0.6145464227998586</v>
      </c>
      <c r="H37" s="5">
        <v>-16.86893189890362</v>
      </c>
      <c r="I37" s="5">
        <v>13.047470536529982</v>
      </c>
      <c r="J37" t="s">
        <v>58</v>
      </c>
      <c r="K37" s="6" t="s">
        <v>49</v>
      </c>
      <c r="L37" s="6" t="s">
        <v>50</v>
      </c>
      <c r="M37" s="6" t="s">
        <v>41</v>
      </c>
    </row>
    <row r="38" spans="1:13" ht="27.6">
      <c r="A38" t="s">
        <v>85</v>
      </c>
      <c r="B38">
        <v>37</v>
      </c>
      <c r="C38" t="s">
        <v>56</v>
      </c>
      <c r="D38" s="5">
        <v>22.55</v>
      </c>
      <c r="E38" s="5">
        <v>-10.29</v>
      </c>
      <c r="F38" s="5">
        <v>4.04</v>
      </c>
      <c r="G38" s="5">
        <v>-0.14582637801605147</v>
      </c>
      <c r="H38" s="5">
        <v>-16.400211854119814</v>
      </c>
      <c r="I38" s="5">
        <v>13.516190581313788</v>
      </c>
      <c r="J38" t="s">
        <v>58</v>
      </c>
      <c r="K38" s="6" t="s">
        <v>34</v>
      </c>
      <c r="L38" s="6" t="s">
        <v>35</v>
      </c>
      <c r="M38" s="6" t="s">
        <v>36</v>
      </c>
    </row>
    <row r="39" spans="1:13" ht="27.6">
      <c r="A39" t="s">
        <v>88</v>
      </c>
      <c r="B39">
        <v>38</v>
      </c>
      <c r="C39" t="s">
        <v>56</v>
      </c>
      <c r="D39" s="5">
        <v>26.56</v>
      </c>
      <c r="E39" s="5">
        <v>4.2699999999999996</v>
      </c>
      <c r="F39" s="5">
        <v>4.04</v>
      </c>
      <c r="G39" s="5">
        <v>-0.03075295618797179</v>
      </c>
      <c r="H39" s="5">
        <v>-16.285138432291735</v>
      </c>
      <c r="I39" s="5">
        <v>13.631264003141869</v>
      </c>
      <c r="J39" t="s">
        <v>58</v>
      </c>
      <c r="K39" s="6" t="s">
        <v>34</v>
      </c>
      <c r="L39" s="6" t="s">
        <v>35</v>
      </c>
      <c r="M39" s="6" t="s">
        <v>41</v>
      </c>
    </row>
    <row r="40" spans="1:13" ht="27.6">
      <c r="A40" t="s">
        <v>87</v>
      </c>
      <c r="B40">
        <v>39</v>
      </c>
      <c r="C40" t="s">
        <v>56</v>
      </c>
      <c r="D40" s="5">
        <v>14.69</v>
      </c>
      <c r="E40" s="5">
        <v>-5.81</v>
      </c>
      <c r="F40" s="5">
        <v>4.04</v>
      </c>
      <c r="G40" s="5">
        <v>0.770091292649206</v>
      </c>
      <c r="H40" s="5">
        <v>-15.484294183454558</v>
      </c>
      <c r="I40" s="5">
        <v>14.432108251979045</v>
      </c>
      <c r="J40" t="s">
        <v>58</v>
      </c>
      <c r="K40" s="6" t="s">
        <v>34</v>
      </c>
      <c r="L40" s="6" t="s">
        <v>35</v>
      </c>
      <c r="M40" s="6" t="s">
        <v>36</v>
      </c>
    </row>
    <row r="41" spans="1:13">
      <c r="A41" t="s">
        <v>89</v>
      </c>
      <c r="B41">
        <v>40</v>
      </c>
      <c r="C41" t="s">
        <v>89</v>
      </c>
      <c r="D41" s="5">
        <v>32.119999999999997</v>
      </c>
      <c r="E41" s="5">
        <v>-1.04</v>
      </c>
      <c r="F41" s="5">
        <v>2.0499999999999998</v>
      </c>
      <c r="G41" s="5">
        <v>3.4835404309192741</v>
      </c>
      <c r="H41" s="5">
        <v>-12.77084504518449</v>
      </c>
      <c r="I41" s="5">
        <v>17.145557390249117</v>
      </c>
      <c r="J41" t="s">
        <v>58</v>
      </c>
      <c r="K41" s="6" t="s">
        <v>44</v>
      </c>
      <c r="L41" s="6" t="s">
        <v>45</v>
      </c>
      <c r="M41" s="6" t="s">
        <v>36</v>
      </c>
    </row>
  </sheetData>
  <conditionalFormatting sqref="J2:J41">
    <cfRule type="containsText" dxfId="0" priority="1" operator="containsText" text="High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5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8" customWidth="1"/>
    <col min="2" max="2" width="14" customWidth="1"/>
    <col min="3" max="6" width="20" customWidth="1"/>
    <col min="7" max="7" width="42" customWidth="1"/>
  </cols>
  <sheetData>
    <row r="1" spans="1:7">
      <c r="A1" s="2" t="s">
        <v>13</v>
      </c>
      <c r="B1" s="3" t="s">
        <v>14</v>
      </c>
      <c r="C1" s="3" t="s">
        <v>90</v>
      </c>
      <c r="D1" s="3" t="s">
        <v>91</v>
      </c>
      <c r="E1" s="3" t="s">
        <v>25</v>
      </c>
      <c r="F1" s="3" t="s">
        <v>26</v>
      </c>
      <c r="G1" s="4" t="s">
        <v>31</v>
      </c>
    </row>
    <row r="2" spans="1:7">
      <c r="A2" t="s">
        <v>77</v>
      </c>
      <c r="B2" t="s">
        <v>43</v>
      </c>
      <c r="C2">
        <v>2012</v>
      </c>
      <c r="D2" s="5">
        <v>55.81</v>
      </c>
      <c r="E2" s="5"/>
      <c r="F2" s="5">
        <v>0.15</v>
      </c>
      <c r="G2" t="s">
        <v>36</v>
      </c>
    </row>
    <row r="3" spans="1:7">
      <c r="A3" t="s">
        <v>37</v>
      </c>
      <c r="B3" t="s">
        <v>38</v>
      </c>
      <c r="C3">
        <v>2012</v>
      </c>
      <c r="D3" s="5">
        <v>58.43</v>
      </c>
      <c r="E3" s="5"/>
      <c r="F3" s="5">
        <v>0.33</v>
      </c>
      <c r="G3" t="s">
        <v>36</v>
      </c>
    </row>
    <row r="4" spans="1:7">
      <c r="A4" t="s">
        <v>92</v>
      </c>
      <c r="B4" t="s">
        <v>47</v>
      </c>
      <c r="C4">
        <v>2013</v>
      </c>
      <c r="D4" s="5">
        <v>63.7</v>
      </c>
      <c r="E4" s="5"/>
      <c r="F4" s="5">
        <v>1.32</v>
      </c>
      <c r="G4" t="s">
        <v>36</v>
      </c>
    </row>
    <row r="5" spans="1:7">
      <c r="A5" t="s">
        <v>71</v>
      </c>
      <c r="B5" t="s">
        <v>47</v>
      </c>
      <c r="C5">
        <v>2013</v>
      </c>
      <c r="D5" s="5">
        <v>48.78</v>
      </c>
      <c r="E5" s="5"/>
      <c r="F5" s="5">
        <v>1.32</v>
      </c>
      <c r="G5" t="s">
        <v>41</v>
      </c>
    </row>
    <row r="6" spans="1:7">
      <c r="A6" t="s">
        <v>93</v>
      </c>
      <c r="B6" t="s">
        <v>47</v>
      </c>
      <c r="C6">
        <v>2013</v>
      </c>
      <c r="D6" s="5">
        <v>55.84</v>
      </c>
      <c r="E6" s="5"/>
      <c r="F6" s="5">
        <v>1.32</v>
      </c>
      <c r="G6" t="s">
        <v>41</v>
      </c>
    </row>
    <row r="7" spans="1:7">
      <c r="A7" t="s">
        <v>77</v>
      </c>
      <c r="B7" t="s">
        <v>43</v>
      </c>
      <c r="C7">
        <v>2013</v>
      </c>
      <c r="D7" s="5">
        <v>55.81</v>
      </c>
      <c r="E7" s="5">
        <v>0</v>
      </c>
      <c r="F7" s="5">
        <v>1.32</v>
      </c>
      <c r="G7" t="s">
        <v>94</v>
      </c>
    </row>
    <row r="8" spans="1:7">
      <c r="A8" t="s">
        <v>95</v>
      </c>
      <c r="B8" t="s">
        <v>96</v>
      </c>
      <c r="C8">
        <v>2013</v>
      </c>
      <c r="D8" s="5">
        <v>44.61</v>
      </c>
      <c r="E8" s="5"/>
      <c r="F8" s="5">
        <v>2.69</v>
      </c>
      <c r="G8" t="s">
        <v>41</v>
      </c>
    </row>
    <row r="9" spans="1:7">
      <c r="A9" t="s">
        <v>97</v>
      </c>
      <c r="B9" t="s">
        <v>56</v>
      </c>
      <c r="C9">
        <v>2013</v>
      </c>
      <c r="D9" s="5">
        <v>17.41</v>
      </c>
      <c r="E9" s="5"/>
      <c r="F9" s="5">
        <v>1.88</v>
      </c>
      <c r="G9" t="s">
        <v>41</v>
      </c>
    </row>
    <row r="10" spans="1:7">
      <c r="A10" t="s">
        <v>3</v>
      </c>
      <c r="B10" t="s">
        <v>32</v>
      </c>
      <c r="C10">
        <v>2013</v>
      </c>
      <c r="D10" s="5">
        <v>56.23</v>
      </c>
      <c r="E10" s="5"/>
      <c r="F10" s="5">
        <v>1.88</v>
      </c>
      <c r="G10" t="s">
        <v>41</v>
      </c>
    </row>
    <row r="11" spans="1:7">
      <c r="A11" t="s">
        <v>68</v>
      </c>
      <c r="B11" t="s">
        <v>56</v>
      </c>
      <c r="C11">
        <v>2013</v>
      </c>
      <c r="D11" s="5">
        <v>40.869999999999997</v>
      </c>
      <c r="E11" s="5"/>
      <c r="F11" s="5">
        <v>1.88</v>
      </c>
      <c r="G11" t="s">
        <v>41</v>
      </c>
    </row>
    <row r="12" spans="1:7">
      <c r="A12" t="s">
        <v>55</v>
      </c>
      <c r="B12" t="s">
        <v>56</v>
      </c>
      <c r="C12">
        <v>2013</v>
      </c>
      <c r="D12" s="5">
        <v>54.04</v>
      </c>
      <c r="E12" s="5"/>
      <c r="F12" s="5">
        <v>1.88</v>
      </c>
      <c r="G12" t="s">
        <v>41</v>
      </c>
    </row>
    <row r="13" spans="1:7">
      <c r="A13" t="s">
        <v>85</v>
      </c>
      <c r="B13" t="s">
        <v>56</v>
      </c>
      <c r="C13">
        <v>2013</v>
      </c>
      <c r="D13" s="5">
        <v>40.630000000000003</v>
      </c>
      <c r="E13" s="5"/>
      <c r="F13" s="5">
        <v>1.88</v>
      </c>
      <c r="G13" t="s">
        <v>98</v>
      </c>
    </row>
    <row r="14" spans="1:7">
      <c r="A14" t="s">
        <v>83</v>
      </c>
      <c r="B14" t="s">
        <v>56</v>
      </c>
      <c r="C14">
        <v>2013</v>
      </c>
      <c r="D14" s="5">
        <v>36.29</v>
      </c>
      <c r="E14" s="5"/>
      <c r="F14" s="5">
        <v>1.88</v>
      </c>
      <c r="G14" t="s">
        <v>41</v>
      </c>
    </row>
    <row r="15" spans="1:7">
      <c r="A15" t="s">
        <v>99</v>
      </c>
      <c r="B15" t="s">
        <v>56</v>
      </c>
      <c r="C15">
        <v>2013</v>
      </c>
      <c r="D15" s="5">
        <v>25.98</v>
      </c>
      <c r="E15" s="5"/>
      <c r="F15" s="5">
        <v>1.88</v>
      </c>
      <c r="G15" t="s">
        <v>41</v>
      </c>
    </row>
    <row r="16" spans="1:7">
      <c r="A16" t="s">
        <v>59</v>
      </c>
      <c r="B16" t="s">
        <v>56</v>
      </c>
      <c r="C16">
        <v>2013</v>
      </c>
      <c r="D16" s="5">
        <v>43.2</v>
      </c>
      <c r="E16" s="5"/>
      <c r="F16" s="5">
        <v>1.88</v>
      </c>
      <c r="G16" t="s">
        <v>41</v>
      </c>
    </row>
    <row r="17" spans="1:7">
      <c r="A17" t="s">
        <v>82</v>
      </c>
      <c r="B17" t="s">
        <v>56</v>
      </c>
      <c r="C17">
        <v>2013</v>
      </c>
      <c r="D17" s="5">
        <v>40</v>
      </c>
      <c r="E17" s="5"/>
      <c r="F17" s="5">
        <v>1.88</v>
      </c>
      <c r="G17" t="s">
        <v>41</v>
      </c>
    </row>
    <row r="18" spans="1:7">
      <c r="A18" t="s">
        <v>100</v>
      </c>
      <c r="B18" t="s">
        <v>101</v>
      </c>
      <c r="C18">
        <v>2013</v>
      </c>
      <c r="D18" s="5">
        <v>75.7</v>
      </c>
      <c r="E18" s="5"/>
      <c r="F18" s="5">
        <v>1.85</v>
      </c>
      <c r="G18" t="s">
        <v>41</v>
      </c>
    </row>
    <row r="19" spans="1:7">
      <c r="A19" t="s">
        <v>102</v>
      </c>
      <c r="B19" t="s">
        <v>101</v>
      </c>
      <c r="C19">
        <v>2013</v>
      </c>
      <c r="D19" s="5">
        <v>53.1</v>
      </c>
      <c r="E19" s="5"/>
      <c r="F19" s="5">
        <v>1.85</v>
      </c>
      <c r="G19" t="s">
        <v>41</v>
      </c>
    </row>
    <row r="20" spans="1:7">
      <c r="A20" t="s">
        <v>86</v>
      </c>
      <c r="B20" t="s">
        <v>38</v>
      </c>
      <c r="C20">
        <v>2013</v>
      </c>
      <c r="D20" s="5">
        <v>54.53</v>
      </c>
      <c r="E20" s="5"/>
      <c r="F20" s="5">
        <v>2.73</v>
      </c>
      <c r="G20" t="s">
        <v>41</v>
      </c>
    </row>
    <row r="21" spans="1:7">
      <c r="A21" t="s">
        <v>37</v>
      </c>
      <c r="B21" t="s">
        <v>38</v>
      </c>
      <c r="C21">
        <v>2013</v>
      </c>
      <c r="D21" s="5">
        <v>58.43</v>
      </c>
      <c r="E21" s="5">
        <v>0</v>
      </c>
      <c r="F21" s="5">
        <v>2.73</v>
      </c>
      <c r="G21" t="s">
        <v>94</v>
      </c>
    </row>
    <row r="22" spans="1:7">
      <c r="A22" t="s">
        <v>81</v>
      </c>
      <c r="B22" t="s">
        <v>38</v>
      </c>
      <c r="C22">
        <v>2013</v>
      </c>
      <c r="D22" s="5">
        <v>56.63</v>
      </c>
      <c r="E22" s="5"/>
      <c r="F22" s="5">
        <v>2.73</v>
      </c>
      <c r="G22" t="s">
        <v>36</v>
      </c>
    </row>
    <row r="23" spans="1:7">
      <c r="A23" t="s">
        <v>80</v>
      </c>
      <c r="B23" t="s">
        <v>38</v>
      </c>
      <c r="C23">
        <v>2013</v>
      </c>
      <c r="D23" s="5">
        <v>54.83</v>
      </c>
      <c r="E23" s="5"/>
      <c r="F23" s="5">
        <v>2.73</v>
      </c>
      <c r="G23" t="s">
        <v>41</v>
      </c>
    </row>
    <row r="24" spans="1:7">
      <c r="A24" t="s">
        <v>51</v>
      </c>
      <c r="B24" t="s">
        <v>38</v>
      </c>
      <c r="C24">
        <v>2013</v>
      </c>
      <c r="D24" s="5">
        <v>56.2</v>
      </c>
      <c r="E24" s="5"/>
      <c r="F24" s="5">
        <v>2.73</v>
      </c>
      <c r="G24" t="s">
        <v>41</v>
      </c>
    </row>
    <row r="25" spans="1:7">
      <c r="A25" t="s">
        <v>71</v>
      </c>
      <c r="B25" t="s">
        <v>47</v>
      </c>
      <c r="C25">
        <v>2014</v>
      </c>
      <c r="D25" s="5">
        <v>54.07</v>
      </c>
      <c r="E25" s="5">
        <v>5.29</v>
      </c>
      <c r="F25" s="5">
        <v>1.47</v>
      </c>
      <c r="G25" t="s">
        <v>41</v>
      </c>
    </row>
    <row r="26" spans="1:7">
      <c r="A26" t="s">
        <v>54</v>
      </c>
      <c r="B26" t="s">
        <v>47</v>
      </c>
      <c r="C26">
        <v>2014</v>
      </c>
      <c r="D26" s="5">
        <v>46.66</v>
      </c>
      <c r="E26" s="5"/>
      <c r="F26" s="5">
        <v>1.47</v>
      </c>
      <c r="G26" t="s">
        <v>41</v>
      </c>
    </row>
    <row r="27" spans="1:7">
      <c r="A27" t="s">
        <v>52</v>
      </c>
      <c r="B27" t="s">
        <v>47</v>
      </c>
      <c r="C27">
        <v>2014</v>
      </c>
      <c r="D27" s="5">
        <v>61.88</v>
      </c>
      <c r="E27" s="5"/>
      <c r="F27" s="5">
        <v>1.47</v>
      </c>
      <c r="G27" t="s">
        <v>41</v>
      </c>
    </row>
    <row r="28" spans="1:7">
      <c r="A28" t="s">
        <v>77</v>
      </c>
      <c r="B28" t="s">
        <v>43</v>
      </c>
      <c r="C28">
        <v>2014</v>
      </c>
      <c r="D28" s="5">
        <v>60.4</v>
      </c>
      <c r="E28" s="5">
        <v>4.59</v>
      </c>
      <c r="F28" s="5">
        <v>1.47</v>
      </c>
      <c r="G28" t="s">
        <v>41</v>
      </c>
    </row>
    <row r="29" spans="1:7">
      <c r="A29" t="s">
        <v>103</v>
      </c>
      <c r="B29" t="s">
        <v>96</v>
      </c>
      <c r="C29">
        <v>2014</v>
      </c>
      <c r="D29" s="5">
        <v>55.63</v>
      </c>
      <c r="E29" s="5"/>
      <c r="F29" s="5">
        <v>1.2</v>
      </c>
      <c r="G29" t="s">
        <v>41</v>
      </c>
    </row>
    <row r="30" spans="1:7">
      <c r="A30" t="s">
        <v>95</v>
      </c>
      <c r="B30" t="s">
        <v>96</v>
      </c>
      <c r="C30">
        <v>2014</v>
      </c>
      <c r="D30" s="5">
        <v>33.909999999999997</v>
      </c>
      <c r="E30" s="5">
        <v>-10.7</v>
      </c>
      <c r="F30" s="5">
        <v>1.2</v>
      </c>
      <c r="G30" t="s">
        <v>41</v>
      </c>
    </row>
    <row r="31" spans="1:7">
      <c r="A31" t="s">
        <v>68</v>
      </c>
      <c r="B31" t="s">
        <v>56</v>
      </c>
      <c r="C31">
        <v>2014</v>
      </c>
      <c r="D31" s="5">
        <v>41.58</v>
      </c>
      <c r="E31" s="5">
        <v>0.71</v>
      </c>
      <c r="F31" s="5">
        <v>5.17</v>
      </c>
      <c r="G31" t="s">
        <v>41</v>
      </c>
    </row>
    <row r="32" spans="1:7">
      <c r="A32" t="s">
        <v>55</v>
      </c>
      <c r="B32" t="s">
        <v>56</v>
      </c>
      <c r="C32">
        <v>2014</v>
      </c>
      <c r="D32" s="5">
        <v>46.29</v>
      </c>
      <c r="E32" s="5">
        <v>-7.75</v>
      </c>
      <c r="F32" s="5">
        <v>5.17</v>
      </c>
      <c r="G32" t="s">
        <v>41</v>
      </c>
    </row>
    <row r="33" spans="1:7">
      <c r="A33" t="s">
        <v>85</v>
      </c>
      <c r="B33" t="s">
        <v>56</v>
      </c>
      <c r="C33">
        <v>2014</v>
      </c>
      <c r="D33" s="5">
        <v>43.3</v>
      </c>
      <c r="E33" s="5">
        <v>2.67</v>
      </c>
      <c r="F33" s="5">
        <v>5.17</v>
      </c>
      <c r="G33" t="s">
        <v>94</v>
      </c>
    </row>
    <row r="34" spans="1:7">
      <c r="A34" t="s">
        <v>104</v>
      </c>
      <c r="B34" t="s">
        <v>56</v>
      </c>
      <c r="C34">
        <v>2014</v>
      </c>
      <c r="D34" s="5">
        <v>27.04</v>
      </c>
      <c r="E34" s="5"/>
      <c r="F34" s="5">
        <v>5.17</v>
      </c>
      <c r="G34" t="s">
        <v>41</v>
      </c>
    </row>
    <row r="35" spans="1:7">
      <c r="A35" t="s">
        <v>99</v>
      </c>
      <c r="B35" t="s">
        <v>56</v>
      </c>
      <c r="C35">
        <v>2014</v>
      </c>
      <c r="D35" s="5">
        <v>39.94</v>
      </c>
      <c r="E35" s="5">
        <v>13.96</v>
      </c>
      <c r="F35" s="5">
        <v>5.17</v>
      </c>
      <c r="G35" t="s">
        <v>41</v>
      </c>
    </row>
    <row r="36" spans="1:7">
      <c r="A36" t="s">
        <v>57</v>
      </c>
      <c r="B36" t="s">
        <v>56</v>
      </c>
      <c r="C36">
        <v>2014</v>
      </c>
      <c r="D36" s="5">
        <v>60.4</v>
      </c>
      <c r="E36" s="5"/>
      <c r="F36" s="5">
        <v>5.17</v>
      </c>
      <c r="G36" t="s">
        <v>41</v>
      </c>
    </row>
    <row r="37" spans="1:7">
      <c r="A37" t="s">
        <v>59</v>
      </c>
      <c r="B37" t="s">
        <v>56</v>
      </c>
      <c r="C37">
        <v>2014</v>
      </c>
      <c r="D37" s="5">
        <v>50.4</v>
      </c>
      <c r="E37" s="5">
        <v>7.2</v>
      </c>
      <c r="F37" s="5">
        <v>5.17</v>
      </c>
      <c r="G37" t="s">
        <v>41</v>
      </c>
    </row>
    <row r="38" spans="1:7">
      <c r="A38" t="s">
        <v>82</v>
      </c>
      <c r="B38" t="s">
        <v>56</v>
      </c>
      <c r="C38">
        <v>2014</v>
      </c>
      <c r="D38" s="5">
        <v>38.46</v>
      </c>
      <c r="E38" s="5">
        <v>-1.54</v>
      </c>
      <c r="F38" s="5">
        <v>5.17</v>
      </c>
      <c r="G38" t="s">
        <v>41</v>
      </c>
    </row>
    <row r="39" spans="1:7">
      <c r="A39" t="s">
        <v>73</v>
      </c>
      <c r="B39" t="s">
        <v>56</v>
      </c>
      <c r="C39">
        <v>2014</v>
      </c>
      <c r="D39" s="5">
        <v>38.44</v>
      </c>
      <c r="E39" s="5"/>
      <c r="F39" s="5">
        <v>5.17</v>
      </c>
      <c r="G39" t="s">
        <v>41</v>
      </c>
    </row>
    <row r="40" spans="1:7">
      <c r="A40" t="s">
        <v>100</v>
      </c>
      <c r="B40" t="s">
        <v>101</v>
      </c>
      <c r="C40">
        <v>2014</v>
      </c>
      <c r="D40" s="5">
        <v>55</v>
      </c>
      <c r="E40" s="5">
        <v>-20.7</v>
      </c>
      <c r="F40" s="5">
        <v>1.24</v>
      </c>
      <c r="G40" t="s">
        <v>41</v>
      </c>
    </row>
    <row r="41" spans="1:7">
      <c r="A41" t="s">
        <v>102</v>
      </c>
      <c r="B41" t="s">
        <v>101</v>
      </c>
      <c r="C41">
        <v>2014</v>
      </c>
      <c r="D41" s="5">
        <v>52.08</v>
      </c>
      <c r="E41" s="5">
        <v>-1.02</v>
      </c>
      <c r="F41" s="5">
        <v>1.24</v>
      </c>
      <c r="G41" t="s">
        <v>41</v>
      </c>
    </row>
    <row r="42" spans="1:7">
      <c r="A42" t="s">
        <v>86</v>
      </c>
      <c r="B42" t="s">
        <v>38</v>
      </c>
      <c r="C42">
        <v>2014</v>
      </c>
      <c r="D42" s="5">
        <v>54.58</v>
      </c>
      <c r="E42" s="5">
        <v>0.05</v>
      </c>
      <c r="F42" s="5">
        <v>5.79</v>
      </c>
      <c r="G42" t="s">
        <v>41</v>
      </c>
    </row>
    <row r="43" spans="1:7">
      <c r="A43" t="s">
        <v>37</v>
      </c>
      <c r="B43" t="s">
        <v>38</v>
      </c>
      <c r="C43">
        <v>2014</v>
      </c>
      <c r="D43" s="5">
        <v>56.88</v>
      </c>
      <c r="E43" s="5">
        <v>-1.55</v>
      </c>
      <c r="F43" s="5">
        <v>5.79</v>
      </c>
      <c r="G43" t="s">
        <v>41</v>
      </c>
    </row>
    <row r="44" spans="1:7">
      <c r="A44" t="s">
        <v>81</v>
      </c>
      <c r="B44" t="s">
        <v>38</v>
      </c>
      <c r="C44">
        <v>2014</v>
      </c>
      <c r="D44" s="5">
        <v>53.62</v>
      </c>
      <c r="E44" s="5">
        <v>-3.01</v>
      </c>
      <c r="F44" s="5">
        <v>5.79</v>
      </c>
      <c r="G44" t="s">
        <v>41</v>
      </c>
    </row>
    <row r="45" spans="1:7">
      <c r="A45" t="s">
        <v>80</v>
      </c>
      <c r="B45" t="s">
        <v>38</v>
      </c>
      <c r="C45">
        <v>2014</v>
      </c>
      <c r="D45" s="5">
        <v>58.13</v>
      </c>
      <c r="E45" s="5">
        <v>3.3</v>
      </c>
      <c r="F45" s="5">
        <v>5.79</v>
      </c>
      <c r="G45" t="s">
        <v>41</v>
      </c>
    </row>
    <row r="46" spans="1:7">
      <c r="A46" t="s">
        <v>51</v>
      </c>
      <c r="B46" t="s">
        <v>38</v>
      </c>
      <c r="C46">
        <v>2014</v>
      </c>
      <c r="D46" s="5">
        <v>53.54</v>
      </c>
      <c r="E46" s="5">
        <v>-2.66</v>
      </c>
      <c r="F46" s="5">
        <v>5.79</v>
      </c>
      <c r="G46" t="s">
        <v>41</v>
      </c>
    </row>
    <row r="47" spans="1:7">
      <c r="A47" t="s">
        <v>71</v>
      </c>
      <c r="B47" t="s">
        <v>47</v>
      </c>
      <c r="C47">
        <v>2015</v>
      </c>
      <c r="D47" s="5">
        <v>55.47</v>
      </c>
      <c r="E47" s="5">
        <v>1.4</v>
      </c>
      <c r="F47" s="5">
        <v>0</v>
      </c>
      <c r="G47" t="s">
        <v>41</v>
      </c>
    </row>
    <row r="48" spans="1:7">
      <c r="A48" t="s">
        <v>54</v>
      </c>
      <c r="B48" t="s">
        <v>47</v>
      </c>
      <c r="C48">
        <v>2015</v>
      </c>
      <c r="D48" s="5">
        <v>51.36</v>
      </c>
      <c r="E48" s="5">
        <v>4.7</v>
      </c>
      <c r="F48" s="5">
        <v>0</v>
      </c>
      <c r="G48" t="s">
        <v>41</v>
      </c>
    </row>
    <row r="49" spans="1:7">
      <c r="A49" t="s">
        <v>52</v>
      </c>
      <c r="B49" t="s">
        <v>47</v>
      </c>
      <c r="C49">
        <v>2015</v>
      </c>
      <c r="D49" s="5">
        <v>70</v>
      </c>
      <c r="E49" s="5">
        <v>8.1199999999999992</v>
      </c>
      <c r="F49" s="5">
        <v>0</v>
      </c>
      <c r="G49" t="s">
        <v>98</v>
      </c>
    </row>
    <row r="50" spans="1:7">
      <c r="A50" t="s">
        <v>66</v>
      </c>
      <c r="B50" t="s">
        <v>67</v>
      </c>
      <c r="C50">
        <v>2015</v>
      </c>
      <c r="D50" s="5">
        <v>40.42</v>
      </c>
      <c r="E50" s="5"/>
      <c r="F50" s="5">
        <v>0.63</v>
      </c>
      <c r="G50" t="s">
        <v>41</v>
      </c>
    </row>
    <row r="51" spans="1:7">
      <c r="A51" t="s">
        <v>77</v>
      </c>
      <c r="B51" t="s">
        <v>43</v>
      </c>
      <c r="C51">
        <v>2015</v>
      </c>
      <c r="D51" s="5">
        <v>61.39</v>
      </c>
      <c r="E51" s="5">
        <v>0.99</v>
      </c>
      <c r="F51" s="5">
        <v>0</v>
      </c>
      <c r="G51" t="s">
        <v>41</v>
      </c>
    </row>
    <row r="52" spans="1:7">
      <c r="A52" t="s">
        <v>103</v>
      </c>
      <c r="B52" t="s">
        <v>96</v>
      </c>
      <c r="C52">
        <v>2015</v>
      </c>
      <c r="D52" s="5">
        <v>68.75</v>
      </c>
      <c r="E52" s="5">
        <v>13.12</v>
      </c>
      <c r="F52" s="5">
        <v>0.63</v>
      </c>
      <c r="G52" t="s">
        <v>41</v>
      </c>
    </row>
    <row r="53" spans="1:7">
      <c r="A53" t="s">
        <v>95</v>
      </c>
      <c r="B53" t="s">
        <v>96</v>
      </c>
      <c r="C53">
        <v>2015</v>
      </c>
      <c r="D53" s="5">
        <v>31.81</v>
      </c>
      <c r="E53" s="5">
        <v>-2.1</v>
      </c>
      <c r="F53" s="5">
        <v>0.63</v>
      </c>
      <c r="G53" t="s">
        <v>41</v>
      </c>
    </row>
    <row r="54" spans="1:7">
      <c r="A54" t="s">
        <v>105</v>
      </c>
      <c r="B54" t="s">
        <v>56</v>
      </c>
      <c r="C54">
        <v>2015</v>
      </c>
      <c r="D54" s="5">
        <v>72.290000000000006</v>
      </c>
      <c r="E54" s="5"/>
      <c r="F54" s="5">
        <v>3.68</v>
      </c>
      <c r="G54" t="s">
        <v>41</v>
      </c>
    </row>
    <row r="55" spans="1:7">
      <c r="A55" t="s">
        <v>106</v>
      </c>
      <c r="B55" t="s">
        <v>56</v>
      </c>
      <c r="C55">
        <v>2015</v>
      </c>
      <c r="D55" s="5">
        <v>54.22</v>
      </c>
      <c r="E55" s="5"/>
      <c r="F55" s="5">
        <v>3.68</v>
      </c>
      <c r="G55" t="s">
        <v>41</v>
      </c>
    </row>
    <row r="56" spans="1:7">
      <c r="A56" t="s">
        <v>87</v>
      </c>
      <c r="B56" t="s">
        <v>56</v>
      </c>
      <c r="C56">
        <v>2015</v>
      </c>
      <c r="D56" s="5">
        <v>7.63</v>
      </c>
      <c r="E56" s="5"/>
      <c r="F56" s="5">
        <v>3.68</v>
      </c>
      <c r="G56" t="s">
        <v>41</v>
      </c>
    </row>
    <row r="57" spans="1:7">
      <c r="A57" t="s">
        <v>68</v>
      </c>
      <c r="B57" t="s">
        <v>56</v>
      </c>
      <c r="C57">
        <v>2015</v>
      </c>
      <c r="D57" s="5">
        <v>32.880000000000003</v>
      </c>
      <c r="E57" s="5">
        <v>-8.6999999999999993</v>
      </c>
      <c r="F57" s="5">
        <v>3.68</v>
      </c>
      <c r="G57" t="s">
        <v>98</v>
      </c>
    </row>
    <row r="58" spans="1:7">
      <c r="A58" t="s">
        <v>55</v>
      </c>
      <c r="B58" t="s">
        <v>56</v>
      </c>
      <c r="C58">
        <v>2015</v>
      </c>
      <c r="D58" s="5">
        <v>48.21</v>
      </c>
      <c r="E58" s="5">
        <v>1.92</v>
      </c>
      <c r="F58" s="5">
        <v>3.68</v>
      </c>
      <c r="G58" t="s">
        <v>41</v>
      </c>
    </row>
    <row r="59" spans="1:7">
      <c r="A59" t="s">
        <v>88</v>
      </c>
      <c r="B59" t="s">
        <v>56</v>
      </c>
      <c r="C59">
        <v>2015</v>
      </c>
      <c r="D59" s="5">
        <v>20.13</v>
      </c>
      <c r="E59" s="5"/>
      <c r="F59" s="5">
        <v>3.68</v>
      </c>
      <c r="G59" t="s">
        <v>41</v>
      </c>
    </row>
    <row r="60" spans="1:7">
      <c r="A60" t="s">
        <v>107</v>
      </c>
      <c r="B60" t="s">
        <v>56</v>
      </c>
      <c r="C60">
        <v>2015</v>
      </c>
      <c r="D60" s="5">
        <v>46.68</v>
      </c>
      <c r="E60" s="5"/>
      <c r="F60" s="5">
        <v>3.68</v>
      </c>
      <c r="G60" t="s">
        <v>41</v>
      </c>
    </row>
    <row r="61" spans="1:7">
      <c r="A61" t="s">
        <v>85</v>
      </c>
      <c r="B61" t="s">
        <v>56</v>
      </c>
      <c r="C61">
        <v>2015</v>
      </c>
      <c r="D61" s="5">
        <v>41.88</v>
      </c>
      <c r="E61" s="5">
        <v>-1.42</v>
      </c>
      <c r="F61" s="5">
        <v>3.68</v>
      </c>
      <c r="G61" t="s">
        <v>41</v>
      </c>
    </row>
    <row r="62" spans="1:7">
      <c r="A62" t="s">
        <v>83</v>
      </c>
      <c r="B62" t="s">
        <v>56</v>
      </c>
      <c r="C62">
        <v>2015</v>
      </c>
      <c r="D62" s="5">
        <v>33.64</v>
      </c>
      <c r="E62" s="5">
        <v>-1.325</v>
      </c>
      <c r="F62" s="5">
        <v>3.68</v>
      </c>
      <c r="G62" t="s">
        <v>41</v>
      </c>
    </row>
    <row r="63" spans="1:7">
      <c r="A63" t="s">
        <v>65</v>
      </c>
      <c r="B63" t="s">
        <v>56</v>
      </c>
      <c r="C63">
        <v>2015</v>
      </c>
      <c r="D63" s="5">
        <v>41.46</v>
      </c>
      <c r="E63" s="5"/>
      <c r="F63" s="5">
        <v>3.68</v>
      </c>
      <c r="G63" t="s">
        <v>41</v>
      </c>
    </row>
    <row r="64" spans="1:7">
      <c r="A64" t="s">
        <v>99</v>
      </c>
      <c r="B64" t="s">
        <v>56</v>
      </c>
      <c r="C64">
        <v>2015</v>
      </c>
      <c r="D64" s="5">
        <v>31.29</v>
      </c>
      <c r="E64" s="5">
        <v>-8.65</v>
      </c>
      <c r="F64" s="5">
        <v>3.68</v>
      </c>
      <c r="G64" t="s">
        <v>41</v>
      </c>
    </row>
    <row r="65" spans="1:7">
      <c r="A65" t="s">
        <v>57</v>
      </c>
      <c r="B65" t="s">
        <v>56</v>
      </c>
      <c r="C65">
        <v>2015</v>
      </c>
      <c r="D65" s="5">
        <v>53.33</v>
      </c>
      <c r="E65" s="5">
        <v>-7.07</v>
      </c>
      <c r="F65" s="5">
        <v>3.68</v>
      </c>
      <c r="G65" t="s">
        <v>41</v>
      </c>
    </row>
    <row r="66" spans="1:7">
      <c r="A66" t="s">
        <v>78</v>
      </c>
      <c r="B66" t="s">
        <v>56</v>
      </c>
      <c r="C66">
        <v>2015</v>
      </c>
      <c r="D66" s="5">
        <v>29.58</v>
      </c>
      <c r="E66" s="5"/>
      <c r="F66" s="5">
        <v>3.68</v>
      </c>
      <c r="G66" t="s">
        <v>41</v>
      </c>
    </row>
    <row r="67" spans="1:7">
      <c r="A67" t="s">
        <v>59</v>
      </c>
      <c r="B67" t="s">
        <v>56</v>
      </c>
      <c r="C67">
        <v>2015</v>
      </c>
      <c r="D67" s="5">
        <v>54.11</v>
      </c>
      <c r="E67" s="5">
        <v>3.71</v>
      </c>
      <c r="F67" s="5">
        <v>3.68</v>
      </c>
      <c r="G67" t="s">
        <v>41</v>
      </c>
    </row>
    <row r="68" spans="1:7">
      <c r="A68" t="s">
        <v>82</v>
      </c>
      <c r="B68" t="s">
        <v>56</v>
      </c>
      <c r="C68">
        <v>2015</v>
      </c>
      <c r="D68" s="5">
        <v>32.700000000000003</v>
      </c>
      <c r="E68" s="5">
        <v>-5.76</v>
      </c>
      <c r="F68" s="5">
        <v>3.68</v>
      </c>
      <c r="G68" t="s">
        <v>41</v>
      </c>
    </row>
    <row r="69" spans="1:7">
      <c r="A69" t="s">
        <v>73</v>
      </c>
      <c r="B69" t="s">
        <v>56</v>
      </c>
      <c r="C69">
        <v>2015</v>
      </c>
      <c r="D69" s="5">
        <v>35.630000000000003</v>
      </c>
      <c r="E69" s="5">
        <v>-2.81</v>
      </c>
      <c r="F69" s="5">
        <v>3.68</v>
      </c>
      <c r="G69" t="s">
        <v>41</v>
      </c>
    </row>
    <row r="70" spans="1:7">
      <c r="A70" t="s">
        <v>100</v>
      </c>
      <c r="B70" t="s">
        <v>101</v>
      </c>
      <c r="C70">
        <v>2015</v>
      </c>
      <c r="D70" s="5">
        <v>69.69</v>
      </c>
      <c r="E70" s="5">
        <v>14.69</v>
      </c>
      <c r="F70" s="5">
        <v>1.19</v>
      </c>
      <c r="G70" t="s">
        <v>41</v>
      </c>
    </row>
    <row r="71" spans="1:7">
      <c r="A71" t="s">
        <v>102</v>
      </c>
      <c r="B71" t="s">
        <v>101</v>
      </c>
      <c r="C71">
        <v>2015</v>
      </c>
      <c r="D71" s="5">
        <v>45.73</v>
      </c>
      <c r="E71" s="5">
        <v>-6.35</v>
      </c>
      <c r="F71" s="5">
        <v>1.19</v>
      </c>
      <c r="G71" t="s">
        <v>41</v>
      </c>
    </row>
    <row r="72" spans="1:7">
      <c r="A72" t="s">
        <v>86</v>
      </c>
      <c r="B72" t="s">
        <v>38</v>
      </c>
      <c r="C72">
        <v>2015</v>
      </c>
      <c r="D72" s="5">
        <v>62.5</v>
      </c>
      <c r="E72" s="5">
        <v>7.92</v>
      </c>
      <c r="F72" s="5">
        <v>4.4800000000000004</v>
      </c>
      <c r="G72" t="s">
        <v>41</v>
      </c>
    </row>
    <row r="73" spans="1:7">
      <c r="A73" t="s">
        <v>37</v>
      </c>
      <c r="B73" t="s">
        <v>38</v>
      </c>
      <c r="C73">
        <v>2015</v>
      </c>
      <c r="D73" s="5">
        <v>53.63</v>
      </c>
      <c r="E73" s="5">
        <v>-3.25</v>
      </c>
      <c r="F73" s="5">
        <v>4.4800000000000004</v>
      </c>
      <c r="G73" t="s">
        <v>41</v>
      </c>
    </row>
    <row r="74" spans="1:7">
      <c r="A74" t="s">
        <v>81</v>
      </c>
      <c r="B74" t="s">
        <v>38</v>
      </c>
      <c r="C74">
        <v>2015</v>
      </c>
      <c r="D74" s="5">
        <v>50.12</v>
      </c>
      <c r="E74" s="5">
        <v>-3.5</v>
      </c>
      <c r="F74" s="5">
        <v>4.4800000000000004</v>
      </c>
      <c r="G74" t="s">
        <v>41</v>
      </c>
    </row>
    <row r="75" spans="1:7">
      <c r="A75" t="s">
        <v>80</v>
      </c>
      <c r="B75" t="s">
        <v>38</v>
      </c>
      <c r="C75">
        <v>2015</v>
      </c>
      <c r="D75" s="5">
        <v>64.12</v>
      </c>
      <c r="E75" s="5">
        <v>5.99</v>
      </c>
      <c r="F75" s="5">
        <v>4.4800000000000004</v>
      </c>
      <c r="G75" t="s">
        <v>41</v>
      </c>
    </row>
    <row r="76" spans="1:7">
      <c r="A76" t="s">
        <v>51</v>
      </c>
      <c r="B76" t="s">
        <v>38</v>
      </c>
      <c r="C76">
        <v>2015</v>
      </c>
      <c r="D76" s="5">
        <v>58.65</v>
      </c>
      <c r="E76" s="5">
        <v>5.1100000000000003</v>
      </c>
      <c r="F76" s="5">
        <v>4.4800000000000004</v>
      </c>
      <c r="G76" t="s">
        <v>41</v>
      </c>
    </row>
    <row r="77" spans="1:7">
      <c r="A77" t="s">
        <v>71</v>
      </c>
      <c r="B77" t="s">
        <v>47</v>
      </c>
      <c r="C77">
        <v>2016</v>
      </c>
      <c r="D77" s="5">
        <v>48.44</v>
      </c>
      <c r="E77" s="5">
        <v>-7.03</v>
      </c>
      <c r="F77" s="5">
        <v>7.25</v>
      </c>
      <c r="G77" t="s">
        <v>41</v>
      </c>
    </row>
    <row r="78" spans="1:7">
      <c r="A78" t="s">
        <v>54</v>
      </c>
      <c r="B78" t="s">
        <v>47</v>
      </c>
      <c r="C78">
        <v>2016</v>
      </c>
      <c r="D78" s="5">
        <v>63.75</v>
      </c>
      <c r="E78" s="5">
        <v>12.39</v>
      </c>
      <c r="F78" s="5">
        <v>7.25</v>
      </c>
      <c r="G78" t="s">
        <v>41</v>
      </c>
    </row>
    <row r="79" spans="1:7">
      <c r="A79" t="s">
        <v>52</v>
      </c>
      <c r="B79" t="s">
        <v>47</v>
      </c>
      <c r="C79">
        <v>2016</v>
      </c>
      <c r="D79" s="5">
        <v>64.22</v>
      </c>
      <c r="E79" s="5">
        <v>-5.78</v>
      </c>
      <c r="F79" s="5">
        <v>7.25</v>
      </c>
      <c r="G79" t="s">
        <v>94</v>
      </c>
    </row>
    <row r="80" spans="1:7">
      <c r="A80" t="s">
        <v>66</v>
      </c>
      <c r="B80" t="s">
        <v>67</v>
      </c>
      <c r="C80">
        <v>2016</v>
      </c>
      <c r="D80" s="5">
        <v>44.38</v>
      </c>
      <c r="E80" s="5">
        <v>3.96</v>
      </c>
      <c r="F80" s="5">
        <v>11.34</v>
      </c>
      <c r="G80" t="s">
        <v>41</v>
      </c>
    </row>
    <row r="81" spans="1:7">
      <c r="A81" t="s">
        <v>77</v>
      </c>
      <c r="B81" t="s">
        <v>43</v>
      </c>
      <c r="C81">
        <v>2016</v>
      </c>
      <c r="D81" s="5">
        <v>59.48</v>
      </c>
      <c r="E81" s="5">
        <v>-1.91</v>
      </c>
      <c r="F81" s="5">
        <v>7.25</v>
      </c>
      <c r="G81" t="s">
        <v>41</v>
      </c>
    </row>
    <row r="82" spans="1:7">
      <c r="A82" t="s">
        <v>103</v>
      </c>
      <c r="B82" t="s">
        <v>96</v>
      </c>
      <c r="C82">
        <v>2016</v>
      </c>
      <c r="D82" s="5">
        <v>88.75</v>
      </c>
      <c r="E82" s="5">
        <v>20</v>
      </c>
      <c r="F82" s="5">
        <v>11.34</v>
      </c>
      <c r="G82" t="s">
        <v>41</v>
      </c>
    </row>
    <row r="83" spans="1:7">
      <c r="A83" t="s">
        <v>95</v>
      </c>
      <c r="B83" t="s">
        <v>96</v>
      </c>
      <c r="C83">
        <v>2016</v>
      </c>
      <c r="D83" s="5">
        <v>31.18</v>
      </c>
      <c r="E83" s="5">
        <v>-0.63</v>
      </c>
      <c r="F83" s="5">
        <v>11.34</v>
      </c>
      <c r="G83" t="s">
        <v>41</v>
      </c>
    </row>
    <row r="84" spans="1:7">
      <c r="A84" t="s">
        <v>87</v>
      </c>
      <c r="B84" t="s">
        <v>56</v>
      </c>
      <c r="C84">
        <v>2016</v>
      </c>
      <c r="D84" s="5">
        <v>11.26</v>
      </c>
      <c r="E84" s="5">
        <v>3.63</v>
      </c>
      <c r="F84" s="5">
        <v>10.52</v>
      </c>
      <c r="G84" t="s">
        <v>41</v>
      </c>
    </row>
    <row r="85" spans="1:7">
      <c r="A85" t="s">
        <v>3</v>
      </c>
      <c r="B85" t="s">
        <v>32</v>
      </c>
      <c r="C85">
        <v>2016</v>
      </c>
      <c r="D85" s="5">
        <v>41.67</v>
      </c>
      <c r="E85" s="5">
        <v>-4.8529999999999998</v>
      </c>
      <c r="F85" s="5">
        <v>10.52</v>
      </c>
      <c r="G85" t="s">
        <v>41</v>
      </c>
    </row>
    <row r="86" spans="1:7">
      <c r="A86" t="s">
        <v>68</v>
      </c>
      <c r="B86" t="s">
        <v>56</v>
      </c>
      <c r="C86">
        <v>2016</v>
      </c>
      <c r="D86" s="5">
        <v>20.5</v>
      </c>
      <c r="E86" s="5">
        <v>-12.38</v>
      </c>
      <c r="F86" s="5">
        <v>10.52</v>
      </c>
      <c r="G86" t="s">
        <v>94</v>
      </c>
    </row>
    <row r="87" spans="1:7">
      <c r="A87" t="s">
        <v>55</v>
      </c>
      <c r="B87" t="s">
        <v>56</v>
      </c>
      <c r="C87">
        <v>2016</v>
      </c>
      <c r="D87" s="5">
        <v>48.91</v>
      </c>
      <c r="E87" s="5">
        <v>0.7</v>
      </c>
      <c r="F87" s="5">
        <v>10.52</v>
      </c>
      <c r="G87" t="s">
        <v>41</v>
      </c>
    </row>
    <row r="88" spans="1:7">
      <c r="A88" t="s">
        <v>88</v>
      </c>
      <c r="B88" t="s">
        <v>56</v>
      </c>
      <c r="C88">
        <v>2016</v>
      </c>
      <c r="D88" s="5">
        <v>27.61</v>
      </c>
      <c r="E88" s="5">
        <v>7.48</v>
      </c>
      <c r="F88" s="5">
        <v>10.52</v>
      </c>
      <c r="G88" t="s">
        <v>41</v>
      </c>
    </row>
    <row r="89" spans="1:7">
      <c r="A89" t="s">
        <v>85</v>
      </c>
      <c r="B89" t="s">
        <v>56</v>
      </c>
      <c r="C89">
        <v>2016</v>
      </c>
      <c r="D89" s="5">
        <v>32.04</v>
      </c>
      <c r="E89" s="5">
        <v>-9.84</v>
      </c>
      <c r="F89" s="5">
        <v>10.52</v>
      </c>
      <c r="G89" t="s">
        <v>41</v>
      </c>
    </row>
    <row r="90" spans="1:7">
      <c r="A90" t="s">
        <v>83</v>
      </c>
      <c r="B90" t="s">
        <v>56</v>
      </c>
      <c r="C90">
        <v>2016</v>
      </c>
      <c r="D90" s="5">
        <v>35.520000000000003</v>
      </c>
      <c r="E90" s="5">
        <v>1.88</v>
      </c>
      <c r="F90" s="5">
        <v>10.52</v>
      </c>
      <c r="G90" t="s">
        <v>41</v>
      </c>
    </row>
    <row r="91" spans="1:7">
      <c r="A91" t="s">
        <v>65</v>
      </c>
      <c r="B91" t="s">
        <v>56</v>
      </c>
      <c r="C91">
        <v>2016</v>
      </c>
      <c r="D91" s="5">
        <v>31.67</v>
      </c>
      <c r="E91" s="5">
        <v>-9.7899999999999991</v>
      </c>
      <c r="F91" s="5">
        <v>10.52</v>
      </c>
      <c r="G91" t="s">
        <v>41</v>
      </c>
    </row>
    <row r="92" spans="1:7">
      <c r="A92" t="s">
        <v>108</v>
      </c>
      <c r="B92" t="s">
        <v>56</v>
      </c>
      <c r="C92">
        <v>2016</v>
      </c>
      <c r="D92" s="5">
        <v>18.760000000000002</v>
      </c>
      <c r="E92" s="5"/>
      <c r="F92" s="5">
        <v>10.52</v>
      </c>
      <c r="G92" t="s">
        <v>41</v>
      </c>
    </row>
    <row r="93" spans="1:7">
      <c r="A93" t="s">
        <v>57</v>
      </c>
      <c r="B93" t="s">
        <v>56</v>
      </c>
      <c r="C93">
        <v>2016</v>
      </c>
      <c r="D93" s="5">
        <v>43.49</v>
      </c>
      <c r="E93" s="5">
        <v>-9.84</v>
      </c>
      <c r="F93" s="5">
        <v>10.52</v>
      </c>
      <c r="G93" t="s">
        <v>98</v>
      </c>
    </row>
    <row r="94" spans="1:7">
      <c r="A94" t="s">
        <v>78</v>
      </c>
      <c r="B94" t="s">
        <v>56</v>
      </c>
      <c r="C94">
        <v>2016</v>
      </c>
      <c r="D94" s="5">
        <v>43.43</v>
      </c>
      <c r="E94" s="5">
        <v>13.85</v>
      </c>
      <c r="F94" s="5">
        <v>10.52</v>
      </c>
      <c r="G94" t="s">
        <v>41</v>
      </c>
    </row>
    <row r="95" spans="1:7">
      <c r="A95" t="s">
        <v>59</v>
      </c>
      <c r="B95" t="s">
        <v>56</v>
      </c>
      <c r="C95">
        <v>2016</v>
      </c>
      <c r="D95" s="5">
        <v>47.59</v>
      </c>
      <c r="E95" s="5">
        <v>-6.52</v>
      </c>
      <c r="F95" s="5">
        <v>10.52</v>
      </c>
      <c r="G95" t="s">
        <v>41</v>
      </c>
    </row>
    <row r="96" spans="1:7">
      <c r="A96" t="s">
        <v>82</v>
      </c>
      <c r="B96" t="s">
        <v>56</v>
      </c>
      <c r="C96">
        <v>2016</v>
      </c>
      <c r="D96" s="5">
        <v>50.24</v>
      </c>
      <c r="E96" s="5">
        <v>17.54</v>
      </c>
      <c r="F96" s="5">
        <v>10.52</v>
      </c>
      <c r="G96" t="s">
        <v>41</v>
      </c>
    </row>
    <row r="97" spans="1:7">
      <c r="A97" t="s">
        <v>73</v>
      </c>
      <c r="B97" t="s">
        <v>56</v>
      </c>
      <c r="C97">
        <v>2016</v>
      </c>
      <c r="D97" s="5">
        <v>33.020000000000003</v>
      </c>
      <c r="E97" s="5">
        <v>-2.61</v>
      </c>
      <c r="F97" s="5">
        <v>10.52</v>
      </c>
      <c r="G97" t="s">
        <v>41</v>
      </c>
    </row>
    <row r="98" spans="1:7">
      <c r="A98" t="s">
        <v>102</v>
      </c>
      <c r="B98" t="s">
        <v>101</v>
      </c>
      <c r="C98">
        <v>2016</v>
      </c>
      <c r="D98" s="5">
        <v>43.65</v>
      </c>
      <c r="E98" s="5">
        <v>-2.08</v>
      </c>
      <c r="F98" s="5">
        <v>1.79</v>
      </c>
      <c r="G98" t="s">
        <v>41</v>
      </c>
    </row>
    <row r="99" spans="1:7">
      <c r="A99" t="s">
        <v>86</v>
      </c>
      <c r="B99" t="s">
        <v>38</v>
      </c>
      <c r="C99">
        <v>2016</v>
      </c>
      <c r="D99" s="5">
        <v>53.34</v>
      </c>
      <c r="E99" s="5">
        <v>-9.16</v>
      </c>
      <c r="F99" s="5">
        <v>8.15</v>
      </c>
      <c r="G99" t="s">
        <v>41</v>
      </c>
    </row>
    <row r="100" spans="1:7">
      <c r="A100" t="s">
        <v>37</v>
      </c>
      <c r="B100" t="s">
        <v>38</v>
      </c>
      <c r="C100">
        <v>2016</v>
      </c>
      <c r="D100" s="5">
        <v>50.13</v>
      </c>
      <c r="E100" s="5">
        <v>-3.5</v>
      </c>
      <c r="F100" s="5">
        <v>8.15</v>
      </c>
      <c r="G100" t="s">
        <v>98</v>
      </c>
    </row>
    <row r="101" spans="1:7">
      <c r="A101" t="s">
        <v>81</v>
      </c>
      <c r="B101" t="s">
        <v>38</v>
      </c>
      <c r="C101">
        <v>2016</v>
      </c>
      <c r="D101" s="5">
        <v>51.75</v>
      </c>
      <c r="E101" s="5">
        <v>1.63</v>
      </c>
      <c r="F101" s="5">
        <v>8.15</v>
      </c>
      <c r="G101" t="s">
        <v>41</v>
      </c>
    </row>
    <row r="102" spans="1:7">
      <c r="A102" t="s">
        <v>80</v>
      </c>
      <c r="B102" t="s">
        <v>38</v>
      </c>
      <c r="C102">
        <v>2016</v>
      </c>
      <c r="D102" s="5">
        <v>55.41</v>
      </c>
      <c r="E102" s="5">
        <v>-8.7100000000000009</v>
      </c>
      <c r="F102" s="5">
        <v>8.15</v>
      </c>
      <c r="G102" t="s">
        <v>41</v>
      </c>
    </row>
    <row r="103" spans="1:7">
      <c r="A103" t="s">
        <v>51</v>
      </c>
      <c r="B103" t="s">
        <v>38</v>
      </c>
      <c r="C103">
        <v>2016</v>
      </c>
      <c r="D103" s="5">
        <v>60.31</v>
      </c>
      <c r="E103" s="5">
        <v>1.66</v>
      </c>
      <c r="F103" s="5">
        <v>8.15</v>
      </c>
      <c r="G103" t="s">
        <v>41</v>
      </c>
    </row>
    <row r="104" spans="1:7">
      <c r="A104" t="s">
        <v>71</v>
      </c>
      <c r="B104" t="s">
        <v>47</v>
      </c>
      <c r="C104">
        <v>2017</v>
      </c>
      <c r="D104" s="5">
        <v>51.4</v>
      </c>
      <c r="E104" s="5">
        <v>2.96</v>
      </c>
      <c r="F104" s="5">
        <v>0</v>
      </c>
      <c r="G104" t="s">
        <v>41</v>
      </c>
    </row>
    <row r="105" spans="1:7">
      <c r="A105" t="s">
        <v>63</v>
      </c>
      <c r="B105" t="s">
        <v>47</v>
      </c>
      <c r="C105">
        <v>2017</v>
      </c>
      <c r="D105" s="5">
        <v>43.75</v>
      </c>
      <c r="E105" s="5"/>
      <c r="F105" s="5">
        <v>0</v>
      </c>
      <c r="G105" t="s">
        <v>41</v>
      </c>
    </row>
    <row r="106" spans="1:7">
      <c r="A106" t="s">
        <v>54</v>
      </c>
      <c r="B106" t="s">
        <v>47</v>
      </c>
      <c r="C106">
        <v>2017</v>
      </c>
      <c r="D106" s="5">
        <v>58.86</v>
      </c>
      <c r="E106" s="5">
        <v>-4.8899999999999997</v>
      </c>
      <c r="F106" s="5">
        <v>0</v>
      </c>
      <c r="G106" t="s">
        <v>41</v>
      </c>
    </row>
    <row r="107" spans="1:7">
      <c r="A107" t="s">
        <v>62</v>
      </c>
      <c r="B107" t="s">
        <v>47</v>
      </c>
      <c r="C107">
        <v>2017</v>
      </c>
      <c r="D107" s="5">
        <v>46.25</v>
      </c>
      <c r="E107" s="5"/>
      <c r="F107" s="5">
        <v>0</v>
      </c>
      <c r="G107" t="s">
        <v>41</v>
      </c>
    </row>
    <row r="108" spans="1:7">
      <c r="A108" t="s">
        <v>52</v>
      </c>
      <c r="B108" t="s">
        <v>47</v>
      </c>
      <c r="C108">
        <v>2017</v>
      </c>
      <c r="D108" s="5">
        <v>64.53</v>
      </c>
      <c r="E108" s="5">
        <v>0.31</v>
      </c>
      <c r="F108" s="5">
        <v>0</v>
      </c>
      <c r="G108" t="s">
        <v>41</v>
      </c>
    </row>
    <row r="109" spans="1:7">
      <c r="A109" t="s">
        <v>66</v>
      </c>
      <c r="B109" t="s">
        <v>67</v>
      </c>
      <c r="C109">
        <v>2017</v>
      </c>
      <c r="D109" s="5">
        <v>51.38</v>
      </c>
      <c r="E109" s="5">
        <v>7</v>
      </c>
      <c r="F109" s="5">
        <v>0.15</v>
      </c>
      <c r="G109" t="s">
        <v>41</v>
      </c>
    </row>
    <row r="110" spans="1:7">
      <c r="A110" t="s">
        <v>77</v>
      </c>
      <c r="B110" t="s">
        <v>43</v>
      </c>
      <c r="C110">
        <v>2017</v>
      </c>
      <c r="D110" s="5">
        <v>66.37</v>
      </c>
      <c r="E110" s="5">
        <v>6.89</v>
      </c>
      <c r="F110" s="5">
        <v>0</v>
      </c>
      <c r="G110" t="s">
        <v>41</v>
      </c>
    </row>
    <row r="111" spans="1:7">
      <c r="A111" t="s">
        <v>103</v>
      </c>
      <c r="B111" t="s">
        <v>96</v>
      </c>
      <c r="C111">
        <v>2017</v>
      </c>
      <c r="D111" s="5">
        <v>66.25</v>
      </c>
      <c r="E111" s="5">
        <v>-22.5</v>
      </c>
      <c r="F111" s="5">
        <v>0.15</v>
      </c>
      <c r="G111" t="s">
        <v>98</v>
      </c>
    </row>
    <row r="112" spans="1:7">
      <c r="A112" t="s">
        <v>95</v>
      </c>
      <c r="B112" t="s">
        <v>96</v>
      </c>
      <c r="C112">
        <v>2017</v>
      </c>
      <c r="D112" s="5">
        <v>23.54</v>
      </c>
      <c r="E112" s="5">
        <v>-7.64</v>
      </c>
      <c r="F112" s="5">
        <v>0.15</v>
      </c>
      <c r="G112" t="s">
        <v>41</v>
      </c>
    </row>
    <row r="113" spans="1:7">
      <c r="A113" t="s">
        <v>87</v>
      </c>
      <c r="B113" t="s">
        <v>56</v>
      </c>
      <c r="C113">
        <v>2017</v>
      </c>
      <c r="D113" s="5">
        <v>12.81</v>
      </c>
      <c r="E113" s="5">
        <v>1.55</v>
      </c>
      <c r="F113" s="5">
        <v>6.7</v>
      </c>
      <c r="G113" t="s">
        <v>41</v>
      </c>
    </row>
    <row r="114" spans="1:7">
      <c r="A114" t="s">
        <v>68</v>
      </c>
      <c r="B114" t="s">
        <v>56</v>
      </c>
      <c r="C114">
        <v>2017</v>
      </c>
      <c r="D114" s="5">
        <v>31</v>
      </c>
      <c r="E114" s="5">
        <v>10.5</v>
      </c>
      <c r="F114" s="5">
        <v>6.7</v>
      </c>
      <c r="G114" t="s">
        <v>41</v>
      </c>
    </row>
    <row r="115" spans="1:7">
      <c r="A115" t="s">
        <v>55</v>
      </c>
      <c r="B115" t="s">
        <v>56</v>
      </c>
      <c r="C115">
        <v>2017</v>
      </c>
      <c r="D115" s="5">
        <v>37.08</v>
      </c>
      <c r="E115" s="5">
        <v>-11.83</v>
      </c>
      <c r="F115" s="5">
        <v>6.7</v>
      </c>
      <c r="G115" t="s">
        <v>41</v>
      </c>
    </row>
    <row r="116" spans="1:7">
      <c r="A116" t="s">
        <v>88</v>
      </c>
      <c r="B116" t="s">
        <v>56</v>
      </c>
      <c r="C116">
        <v>2017</v>
      </c>
      <c r="D116" s="5">
        <v>30.41</v>
      </c>
      <c r="E116" s="5">
        <v>2.8</v>
      </c>
      <c r="F116" s="5">
        <v>6.7</v>
      </c>
      <c r="G116" t="s">
        <v>41</v>
      </c>
    </row>
    <row r="117" spans="1:7">
      <c r="A117" t="s">
        <v>85</v>
      </c>
      <c r="B117" t="s">
        <v>56</v>
      </c>
      <c r="C117">
        <v>2017</v>
      </c>
      <c r="D117" s="5">
        <v>40.21</v>
      </c>
      <c r="E117" s="5">
        <v>8.17</v>
      </c>
      <c r="F117" s="5">
        <v>6.7</v>
      </c>
      <c r="G117" t="s">
        <v>41</v>
      </c>
    </row>
    <row r="118" spans="1:7">
      <c r="A118" t="s">
        <v>83</v>
      </c>
      <c r="B118" t="s">
        <v>56</v>
      </c>
      <c r="C118">
        <v>2017</v>
      </c>
      <c r="D118" s="5">
        <v>27.29</v>
      </c>
      <c r="E118" s="5">
        <v>-8.23</v>
      </c>
      <c r="F118" s="5">
        <v>6.7</v>
      </c>
      <c r="G118" t="s">
        <v>41</v>
      </c>
    </row>
    <row r="119" spans="1:7">
      <c r="A119" t="s">
        <v>109</v>
      </c>
      <c r="B119" t="s">
        <v>56</v>
      </c>
      <c r="C119">
        <v>2017</v>
      </c>
      <c r="D119" s="5">
        <v>28.79</v>
      </c>
      <c r="E119" s="5"/>
      <c r="F119" s="5">
        <v>6.7</v>
      </c>
      <c r="G119" t="s">
        <v>41</v>
      </c>
    </row>
    <row r="120" spans="1:7">
      <c r="A120" t="s">
        <v>65</v>
      </c>
      <c r="B120" t="s">
        <v>56</v>
      </c>
      <c r="C120">
        <v>2017</v>
      </c>
      <c r="D120" s="5">
        <v>42.85</v>
      </c>
      <c r="E120" s="5">
        <v>11.18</v>
      </c>
      <c r="F120" s="5">
        <v>6.7</v>
      </c>
      <c r="G120" t="s">
        <v>41</v>
      </c>
    </row>
    <row r="121" spans="1:7">
      <c r="A121" t="s">
        <v>57</v>
      </c>
      <c r="B121" t="s">
        <v>56</v>
      </c>
      <c r="C121">
        <v>2017</v>
      </c>
      <c r="D121" s="5">
        <v>49.95</v>
      </c>
      <c r="E121" s="5">
        <v>6.46</v>
      </c>
      <c r="F121" s="5">
        <v>6.7</v>
      </c>
      <c r="G121" t="s">
        <v>41</v>
      </c>
    </row>
    <row r="122" spans="1:7">
      <c r="A122" t="s">
        <v>110</v>
      </c>
      <c r="B122" t="s">
        <v>56</v>
      </c>
      <c r="C122">
        <v>2017</v>
      </c>
      <c r="D122" s="5">
        <v>33.6</v>
      </c>
      <c r="E122" s="5"/>
      <c r="F122" s="5">
        <v>6.7</v>
      </c>
      <c r="G122" t="s">
        <v>41</v>
      </c>
    </row>
    <row r="123" spans="1:7">
      <c r="A123" t="s">
        <v>78</v>
      </c>
      <c r="B123" t="s">
        <v>56</v>
      </c>
      <c r="C123">
        <v>2017</v>
      </c>
      <c r="D123" s="5">
        <v>35.630000000000003</v>
      </c>
      <c r="E123" s="5">
        <v>-7.8</v>
      </c>
      <c r="F123" s="5">
        <v>6.7</v>
      </c>
      <c r="G123" t="s">
        <v>41</v>
      </c>
    </row>
    <row r="124" spans="1:7">
      <c r="A124" t="s">
        <v>59</v>
      </c>
      <c r="B124" t="s">
        <v>56</v>
      </c>
      <c r="C124">
        <v>2017</v>
      </c>
      <c r="D124" s="5">
        <v>50.67</v>
      </c>
      <c r="E124" s="5">
        <v>3.08</v>
      </c>
      <c r="F124" s="5">
        <v>6.7</v>
      </c>
      <c r="G124" t="s">
        <v>41</v>
      </c>
    </row>
    <row r="125" spans="1:7">
      <c r="A125" t="s">
        <v>82</v>
      </c>
      <c r="B125" t="s">
        <v>56</v>
      </c>
      <c r="C125">
        <v>2017</v>
      </c>
      <c r="D125" s="5">
        <v>37.81</v>
      </c>
      <c r="E125" s="5">
        <v>-12.43</v>
      </c>
      <c r="F125" s="5">
        <v>6.7</v>
      </c>
      <c r="G125" t="s">
        <v>41</v>
      </c>
    </row>
    <row r="126" spans="1:7">
      <c r="A126" t="s">
        <v>73</v>
      </c>
      <c r="B126" t="s">
        <v>56</v>
      </c>
      <c r="C126">
        <v>2017</v>
      </c>
      <c r="D126" s="5">
        <v>25.84</v>
      </c>
      <c r="E126" s="5">
        <v>-7.18</v>
      </c>
      <c r="F126" s="5">
        <v>6.7</v>
      </c>
      <c r="G126" t="s">
        <v>41</v>
      </c>
    </row>
    <row r="127" spans="1:7">
      <c r="A127" t="s">
        <v>102</v>
      </c>
      <c r="B127" t="s">
        <v>101</v>
      </c>
      <c r="C127">
        <v>2017</v>
      </c>
      <c r="D127" s="5">
        <v>54.9</v>
      </c>
      <c r="E127" s="5">
        <v>11.25</v>
      </c>
      <c r="F127" s="5">
        <v>1.97</v>
      </c>
      <c r="G127" t="s">
        <v>41</v>
      </c>
    </row>
    <row r="128" spans="1:7">
      <c r="A128" t="s">
        <v>86</v>
      </c>
      <c r="B128" t="s">
        <v>38</v>
      </c>
      <c r="C128">
        <v>2017</v>
      </c>
      <c r="D128" s="5">
        <v>48.33</v>
      </c>
      <c r="E128" s="5">
        <v>-5.01</v>
      </c>
      <c r="F128" s="5">
        <v>1.61</v>
      </c>
      <c r="G128" t="s">
        <v>41</v>
      </c>
    </row>
    <row r="129" spans="1:7">
      <c r="A129" t="s">
        <v>37</v>
      </c>
      <c r="B129" t="s">
        <v>38</v>
      </c>
      <c r="C129">
        <v>2017</v>
      </c>
      <c r="D129" s="5">
        <v>50.01</v>
      </c>
      <c r="E129" s="5">
        <v>-0.12</v>
      </c>
      <c r="F129" s="5">
        <v>1.61</v>
      </c>
      <c r="G129" t="s">
        <v>94</v>
      </c>
    </row>
    <row r="130" spans="1:7">
      <c r="A130" t="s">
        <v>81</v>
      </c>
      <c r="B130" t="s">
        <v>38</v>
      </c>
      <c r="C130">
        <v>2017</v>
      </c>
      <c r="D130" s="5">
        <v>42.32</v>
      </c>
      <c r="E130" s="5">
        <v>-9.43</v>
      </c>
      <c r="F130" s="5">
        <v>1.61</v>
      </c>
      <c r="G130" t="s">
        <v>41</v>
      </c>
    </row>
    <row r="131" spans="1:7">
      <c r="A131" t="s">
        <v>80</v>
      </c>
      <c r="B131" t="s">
        <v>38</v>
      </c>
      <c r="C131">
        <v>2017</v>
      </c>
      <c r="D131" s="5">
        <v>49.95</v>
      </c>
      <c r="E131" s="5">
        <v>-5.46</v>
      </c>
      <c r="F131" s="5">
        <v>1.61</v>
      </c>
      <c r="G131" t="s">
        <v>41</v>
      </c>
    </row>
    <row r="132" spans="1:7">
      <c r="A132" t="s">
        <v>51</v>
      </c>
      <c r="B132" t="s">
        <v>38</v>
      </c>
      <c r="C132">
        <v>2017</v>
      </c>
      <c r="D132" s="5">
        <v>52.92</v>
      </c>
      <c r="E132" s="5">
        <v>-7.39</v>
      </c>
      <c r="F132" s="5">
        <v>1.61</v>
      </c>
      <c r="G132" t="s">
        <v>41</v>
      </c>
    </row>
    <row r="133" spans="1:7">
      <c r="A133" t="s">
        <v>76</v>
      </c>
      <c r="B133" t="s">
        <v>47</v>
      </c>
      <c r="C133">
        <v>2018</v>
      </c>
      <c r="D133" s="5">
        <v>44.58</v>
      </c>
      <c r="E133" s="5"/>
      <c r="F133" s="5">
        <v>0.15</v>
      </c>
      <c r="G133" t="s">
        <v>41</v>
      </c>
    </row>
    <row r="134" spans="1:7">
      <c r="A134" t="s">
        <v>71</v>
      </c>
      <c r="B134" t="s">
        <v>47</v>
      </c>
      <c r="C134">
        <v>2018</v>
      </c>
      <c r="D134" s="5">
        <v>55.79</v>
      </c>
      <c r="E134" s="5">
        <v>4.3899999999999997</v>
      </c>
      <c r="F134" s="5">
        <v>0.15</v>
      </c>
      <c r="G134" t="s">
        <v>41</v>
      </c>
    </row>
    <row r="135" spans="1:7">
      <c r="A135" t="s">
        <v>63</v>
      </c>
      <c r="B135" t="s">
        <v>47</v>
      </c>
      <c r="C135">
        <v>2018</v>
      </c>
      <c r="D135" s="5">
        <v>60.63</v>
      </c>
      <c r="E135" s="5">
        <v>16.88</v>
      </c>
      <c r="F135" s="5">
        <v>0.15</v>
      </c>
      <c r="G135" t="s">
        <v>41</v>
      </c>
    </row>
    <row r="136" spans="1:7">
      <c r="A136" t="s">
        <v>54</v>
      </c>
      <c r="B136" t="s">
        <v>47</v>
      </c>
      <c r="C136">
        <v>2018</v>
      </c>
      <c r="D136" s="5">
        <v>56.88</v>
      </c>
      <c r="E136" s="5">
        <v>-1.98</v>
      </c>
      <c r="F136" s="5">
        <v>0.15</v>
      </c>
      <c r="G136" t="s">
        <v>41</v>
      </c>
    </row>
    <row r="137" spans="1:7">
      <c r="A137" t="s">
        <v>52</v>
      </c>
      <c r="B137" t="s">
        <v>47</v>
      </c>
      <c r="C137">
        <v>2018</v>
      </c>
      <c r="D137" s="5">
        <v>60.63</v>
      </c>
      <c r="E137" s="5">
        <v>-3.9</v>
      </c>
      <c r="F137" s="5">
        <v>0.15</v>
      </c>
      <c r="G137" t="s">
        <v>41</v>
      </c>
    </row>
    <row r="138" spans="1:7">
      <c r="A138" t="s">
        <v>66</v>
      </c>
      <c r="B138" t="s">
        <v>67</v>
      </c>
      <c r="C138">
        <v>2018</v>
      </c>
      <c r="D138" s="5">
        <v>53.38</v>
      </c>
      <c r="E138" s="5">
        <v>2</v>
      </c>
      <c r="F138" s="5">
        <v>0.32</v>
      </c>
      <c r="G138" t="s">
        <v>41</v>
      </c>
    </row>
    <row r="139" spans="1:7">
      <c r="A139" t="s">
        <v>77</v>
      </c>
      <c r="B139" t="s">
        <v>43</v>
      </c>
      <c r="C139">
        <v>2018</v>
      </c>
      <c r="D139" s="5">
        <v>62.6</v>
      </c>
      <c r="E139" s="5">
        <v>-3.77</v>
      </c>
      <c r="F139" s="5">
        <v>0.15</v>
      </c>
      <c r="G139" t="s">
        <v>41</v>
      </c>
    </row>
    <row r="140" spans="1:7">
      <c r="A140" t="s">
        <v>103</v>
      </c>
      <c r="B140" t="s">
        <v>96</v>
      </c>
      <c r="C140">
        <v>2018</v>
      </c>
      <c r="D140" s="5">
        <v>28.75</v>
      </c>
      <c r="E140" s="5">
        <v>-37.5</v>
      </c>
      <c r="F140" s="5">
        <v>0.32</v>
      </c>
      <c r="G140" t="s">
        <v>94</v>
      </c>
    </row>
    <row r="141" spans="1:7">
      <c r="A141" t="s">
        <v>95</v>
      </c>
      <c r="B141" t="s">
        <v>96</v>
      </c>
      <c r="C141">
        <v>2018</v>
      </c>
      <c r="D141" s="5">
        <v>25.49</v>
      </c>
      <c r="E141" s="5">
        <v>1.95</v>
      </c>
      <c r="F141" s="5">
        <v>0.32</v>
      </c>
      <c r="G141" t="s">
        <v>41</v>
      </c>
    </row>
    <row r="142" spans="1:7">
      <c r="A142" t="s">
        <v>87</v>
      </c>
      <c r="B142" t="s">
        <v>56</v>
      </c>
      <c r="C142">
        <v>2018</v>
      </c>
      <c r="D142" s="5">
        <v>18.440000000000001</v>
      </c>
      <c r="E142" s="5">
        <v>5.63</v>
      </c>
      <c r="F142" s="5">
        <v>1.71</v>
      </c>
      <c r="G142" t="s">
        <v>41</v>
      </c>
    </row>
    <row r="143" spans="1:7">
      <c r="A143" t="s">
        <v>3</v>
      </c>
      <c r="B143" t="s">
        <v>32</v>
      </c>
      <c r="C143">
        <v>2018</v>
      </c>
      <c r="D143" s="5">
        <v>23.44</v>
      </c>
      <c r="E143" s="5">
        <v>-9.1150000000000002</v>
      </c>
      <c r="F143" s="5">
        <v>1.71</v>
      </c>
      <c r="G143" t="s">
        <v>41</v>
      </c>
    </row>
    <row r="144" spans="1:7">
      <c r="A144" t="s">
        <v>68</v>
      </c>
      <c r="B144" t="s">
        <v>56</v>
      </c>
      <c r="C144">
        <v>2018</v>
      </c>
      <c r="D144" s="5">
        <v>24.66</v>
      </c>
      <c r="E144" s="5">
        <v>-6.34</v>
      </c>
      <c r="F144" s="5">
        <v>1.71</v>
      </c>
      <c r="G144" t="s">
        <v>41</v>
      </c>
    </row>
    <row r="145" spans="1:7">
      <c r="A145" t="s">
        <v>55</v>
      </c>
      <c r="B145" t="s">
        <v>56</v>
      </c>
      <c r="C145">
        <v>2018</v>
      </c>
      <c r="D145" s="5">
        <v>43.67</v>
      </c>
      <c r="E145" s="5">
        <v>6.59</v>
      </c>
      <c r="F145" s="5">
        <v>1.71</v>
      </c>
      <c r="G145" t="s">
        <v>41</v>
      </c>
    </row>
    <row r="146" spans="1:7">
      <c r="A146" t="s">
        <v>88</v>
      </c>
      <c r="B146" t="s">
        <v>56</v>
      </c>
      <c r="C146">
        <v>2018</v>
      </c>
      <c r="D146" s="5">
        <v>34.51</v>
      </c>
      <c r="E146" s="5">
        <v>4.0999999999999996</v>
      </c>
      <c r="F146" s="5">
        <v>1.71</v>
      </c>
      <c r="G146" t="s">
        <v>41</v>
      </c>
    </row>
    <row r="147" spans="1:7">
      <c r="A147" t="s">
        <v>85</v>
      </c>
      <c r="B147" t="s">
        <v>56</v>
      </c>
      <c r="C147">
        <v>2018</v>
      </c>
      <c r="D147" s="5">
        <v>30.83</v>
      </c>
      <c r="E147" s="5">
        <v>-9.3800000000000008</v>
      </c>
      <c r="F147" s="5">
        <v>1.71</v>
      </c>
      <c r="G147" t="s">
        <v>98</v>
      </c>
    </row>
    <row r="148" spans="1:7">
      <c r="A148" t="s">
        <v>83</v>
      </c>
      <c r="B148" t="s">
        <v>56</v>
      </c>
      <c r="C148">
        <v>2018</v>
      </c>
      <c r="D148" s="5">
        <v>23.03</v>
      </c>
      <c r="E148" s="5">
        <v>-4.26</v>
      </c>
      <c r="F148" s="5">
        <v>1.71</v>
      </c>
      <c r="G148" t="s">
        <v>41</v>
      </c>
    </row>
    <row r="149" spans="1:7">
      <c r="A149" t="s">
        <v>65</v>
      </c>
      <c r="B149" t="s">
        <v>56</v>
      </c>
      <c r="C149">
        <v>2018</v>
      </c>
      <c r="D149" s="5">
        <v>45.76</v>
      </c>
      <c r="E149" s="5">
        <v>2.91</v>
      </c>
      <c r="F149" s="5">
        <v>1.71</v>
      </c>
      <c r="G149" t="s">
        <v>41</v>
      </c>
    </row>
    <row r="150" spans="1:7">
      <c r="A150" t="s">
        <v>108</v>
      </c>
      <c r="B150" t="s">
        <v>56</v>
      </c>
      <c r="C150">
        <v>2018</v>
      </c>
      <c r="D150" s="5">
        <v>12.01</v>
      </c>
      <c r="E150" s="5">
        <v>-3.375</v>
      </c>
      <c r="F150" s="5">
        <v>1.71</v>
      </c>
      <c r="G150" t="s">
        <v>41</v>
      </c>
    </row>
    <row r="151" spans="1:7">
      <c r="A151" t="s">
        <v>57</v>
      </c>
      <c r="B151" t="s">
        <v>56</v>
      </c>
      <c r="C151">
        <v>2018</v>
      </c>
      <c r="D151" s="5">
        <v>43.49</v>
      </c>
      <c r="E151" s="5">
        <v>-6.46</v>
      </c>
      <c r="F151" s="5">
        <v>1.71</v>
      </c>
      <c r="G151" t="s">
        <v>94</v>
      </c>
    </row>
    <row r="152" spans="1:7">
      <c r="A152" t="s">
        <v>59</v>
      </c>
      <c r="B152" t="s">
        <v>56</v>
      </c>
      <c r="C152">
        <v>2018</v>
      </c>
      <c r="D152" s="5">
        <v>54.38</v>
      </c>
      <c r="E152" s="5">
        <v>3.71</v>
      </c>
      <c r="F152" s="5">
        <v>1.71</v>
      </c>
      <c r="G152" t="s">
        <v>41</v>
      </c>
    </row>
    <row r="153" spans="1:7">
      <c r="A153" t="s">
        <v>73</v>
      </c>
      <c r="B153" t="s">
        <v>56</v>
      </c>
      <c r="C153">
        <v>2018</v>
      </c>
      <c r="D153" s="5">
        <v>34.17</v>
      </c>
      <c r="E153" s="5">
        <v>8.33</v>
      </c>
      <c r="F153" s="5">
        <v>1.71</v>
      </c>
      <c r="G153" t="s">
        <v>98</v>
      </c>
    </row>
    <row r="154" spans="1:7">
      <c r="A154" t="s">
        <v>102</v>
      </c>
      <c r="B154" t="s">
        <v>101</v>
      </c>
      <c r="C154">
        <v>2018</v>
      </c>
      <c r="D154" s="5">
        <v>46.98</v>
      </c>
      <c r="E154" s="5">
        <v>-7.92</v>
      </c>
      <c r="F154" s="5">
        <v>1.27</v>
      </c>
      <c r="G154" t="s">
        <v>41</v>
      </c>
    </row>
    <row r="155" spans="1:7">
      <c r="A155" t="s">
        <v>86</v>
      </c>
      <c r="B155" t="s">
        <v>38</v>
      </c>
      <c r="C155">
        <v>2018</v>
      </c>
      <c r="D155" s="5">
        <v>51.98</v>
      </c>
      <c r="E155" s="5">
        <v>3.65</v>
      </c>
      <c r="F155" s="5">
        <v>2.56</v>
      </c>
      <c r="G155" t="s">
        <v>41</v>
      </c>
    </row>
    <row r="156" spans="1:7">
      <c r="A156" t="s">
        <v>37</v>
      </c>
      <c r="B156" t="s">
        <v>38</v>
      </c>
      <c r="C156">
        <v>2018</v>
      </c>
      <c r="D156" s="5">
        <v>44.88</v>
      </c>
      <c r="E156" s="5">
        <v>-5.13</v>
      </c>
      <c r="F156" s="5">
        <v>2.56</v>
      </c>
      <c r="G156" t="s">
        <v>41</v>
      </c>
    </row>
    <row r="157" spans="1:7">
      <c r="A157" t="s">
        <v>84</v>
      </c>
      <c r="B157" t="s">
        <v>38</v>
      </c>
      <c r="C157">
        <v>2018</v>
      </c>
      <c r="D157" s="5">
        <v>36.880000000000003</v>
      </c>
      <c r="E157" s="5"/>
      <c r="F157" s="5">
        <v>2.56</v>
      </c>
      <c r="G157" t="s">
        <v>41</v>
      </c>
    </row>
    <row r="158" spans="1:7">
      <c r="A158" t="s">
        <v>81</v>
      </c>
      <c r="B158" t="s">
        <v>38</v>
      </c>
      <c r="C158">
        <v>2018</v>
      </c>
      <c r="D158" s="5">
        <v>43.69</v>
      </c>
      <c r="E158" s="5">
        <v>1.37</v>
      </c>
      <c r="F158" s="5">
        <v>2.56</v>
      </c>
      <c r="G158" t="s">
        <v>41</v>
      </c>
    </row>
    <row r="159" spans="1:7">
      <c r="A159" t="s">
        <v>80</v>
      </c>
      <c r="B159" t="s">
        <v>38</v>
      </c>
      <c r="C159">
        <v>2018</v>
      </c>
      <c r="D159" s="5">
        <v>44.22</v>
      </c>
      <c r="E159" s="5">
        <v>-5.73</v>
      </c>
      <c r="F159" s="5">
        <v>2.56</v>
      </c>
      <c r="G159" t="s">
        <v>41</v>
      </c>
    </row>
    <row r="160" spans="1:7">
      <c r="A160" t="s">
        <v>51</v>
      </c>
      <c r="B160" t="s">
        <v>38</v>
      </c>
      <c r="C160">
        <v>2018</v>
      </c>
      <c r="D160" s="5">
        <v>51.77</v>
      </c>
      <c r="E160" s="5">
        <v>-1.1499999999999999</v>
      </c>
      <c r="F160" s="5">
        <v>2.56</v>
      </c>
      <c r="G160" t="s">
        <v>41</v>
      </c>
    </row>
    <row r="161" spans="1:7">
      <c r="A161" t="s">
        <v>76</v>
      </c>
      <c r="B161" t="s">
        <v>47</v>
      </c>
      <c r="C161">
        <v>2019</v>
      </c>
      <c r="D161" s="5">
        <v>40.21</v>
      </c>
      <c r="E161" s="5">
        <v>-4.37</v>
      </c>
      <c r="F161" s="5">
        <v>0.3</v>
      </c>
      <c r="G161" t="s">
        <v>41</v>
      </c>
    </row>
    <row r="162" spans="1:7">
      <c r="A162" t="s">
        <v>71</v>
      </c>
      <c r="B162" t="s">
        <v>47</v>
      </c>
      <c r="C162">
        <v>2019</v>
      </c>
      <c r="D162" s="5">
        <v>52.03</v>
      </c>
      <c r="E162" s="5">
        <v>-3.76</v>
      </c>
      <c r="F162" s="5">
        <v>0.3</v>
      </c>
      <c r="G162" t="s">
        <v>41</v>
      </c>
    </row>
    <row r="163" spans="1:7">
      <c r="A163" t="s">
        <v>63</v>
      </c>
      <c r="B163" t="s">
        <v>47</v>
      </c>
      <c r="C163">
        <v>2019</v>
      </c>
      <c r="D163" s="5">
        <v>74.63</v>
      </c>
      <c r="E163" s="5">
        <v>14</v>
      </c>
      <c r="F163" s="5">
        <v>0.3</v>
      </c>
      <c r="G163" t="s">
        <v>41</v>
      </c>
    </row>
    <row r="164" spans="1:7">
      <c r="A164" t="s">
        <v>54</v>
      </c>
      <c r="B164" t="s">
        <v>47</v>
      </c>
      <c r="C164">
        <v>2019</v>
      </c>
      <c r="D164" s="5">
        <v>55.84</v>
      </c>
      <c r="E164" s="5">
        <v>-1.04</v>
      </c>
      <c r="F164" s="5">
        <v>0.3</v>
      </c>
      <c r="G164" t="s">
        <v>41</v>
      </c>
    </row>
    <row r="165" spans="1:7">
      <c r="A165" t="s">
        <v>52</v>
      </c>
      <c r="B165" t="s">
        <v>47</v>
      </c>
      <c r="C165">
        <v>2019</v>
      </c>
      <c r="D165" s="5">
        <v>58.59</v>
      </c>
      <c r="E165" s="5">
        <v>-2.04</v>
      </c>
      <c r="F165" s="5">
        <v>0.3</v>
      </c>
      <c r="G165" t="s">
        <v>41</v>
      </c>
    </row>
    <row r="166" spans="1:7">
      <c r="A166" t="s">
        <v>66</v>
      </c>
      <c r="B166" t="s">
        <v>67</v>
      </c>
      <c r="C166">
        <v>2019</v>
      </c>
      <c r="D166" s="5">
        <v>50.88</v>
      </c>
      <c r="E166" s="5">
        <v>-2.5</v>
      </c>
      <c r="F166" s="5">
        <v>3.45</v>
      </c>
      <c r="G166" t="s">
        <v>41</v>
      </c>
    </row>
    <row r="167" spans="1:7">
      <c r="A167" t="s">
        <v>77</v>
      </c>
      <c r="B167" t="s">
        <v>43</v>
      </c>
      <c r="C167">
        <v>2019</v>
      </c>
      <c r="D167" s="5">
        <v>63.82</v>
      </c>
      <c r="E167" s="5">
        <v>1.22</v>
      </c>
      <c r="F167" s="5">
        <v>0.3</v>
      </c>
      <c r="G167" t="s">
        <v>41</v>
      </c>
    </row>
    <row r="168" spans="1:7">
      <c r="A168" t="s">
        <v>103</v>
      </c>
      <c r="B168" t="s">
        <v>96</v>
      </c>
      <c r="C168">
        <v>2019</v>
      </c>
      <c r="D168" s="5">
        <v>53.75</v>
      </c>
      <c r="E168" s="5">
        <v>25</v>
      </c>
      <c r="F168" s="5">
        <v>3.45</v>
      </c>
      <c r="G168" t="s">
        <v>41</v>
      </c>
    </row>
    <row r="169" spans="1:7">
      <c r="A169" t="s">
        <v>95</v>
      </c>
      <c r="B169" t="s">
        <v>96</v>
      </c>
      <c r="C169">
        <v>2019</v>
      </c>
      <c r="D169" s="5">
        <v>26.87</v>
      </c>
      <c r="E169" s="5">
        <v>1.38</v>
      </c>
      <c r="F169" s="5">
        <v>3.45</v>
      </c>
      <c r="G169" t="s">
        <v>41</v>
      </c>
    </row>
    <row r="170" spans="1:7">
      <c r="A170" t="s">
        <v>87</v>
      </c>
      <c r="B170" t="s">
        <v>56</v>
      </c>
      <c r="C170">
        <v>2019</v>
      </c>
      <c r="D170" s="5">
        <v>14.68</v>
      </c>
      <c r="E170" s="5">
        <v>-3.76</v>
      </c>
      <c r="F170" s="5">
        <v>7.74</v>
      </c>
      <c r="G170" t="s">
        <v>41</v>
      </c>
    </row>
    <row r="171" spans="1:7">
      <c r="A171" t="s">
        <v>3</v>
      </c>
      <c r="B171" t="s">
        <v>32</v>
      </c>
      <c r="C171">
        <v>2019</v>
      </c>
      <c r="D171" s="5">
        <v>29.54</v>
      </c>
      <c r="E171" s="5">
        <v>6.1</v>
      </c>
      <c r="F171" s="5">
        <v>7.74</v>
      </c>
      <c r="G171" t="s">
        <v>41</v>
      </c>
    </row>
    <row r="172" spans="1:7">
      <c r="A172" t="s">
        <v>68</v>
      </c>
      <c r="B172" t="s">
        <v>56</v>
      </c>
      <c r="C172">
        <v>2019</v>
      </c>
      <c r="D172" s="5">
        <v>25.25</v>
      </c>
      <c r="E172" s="5">
        <v>0.59</v>
      </c>
      <c r="F172" s="5">
        <v>7.74</v>
      </c>
      <c r="G172" t="s">
        <v>41</v>
      </c>
    </row>
    <row r="173" spans="1:7">
      <c r="A173" t="s">
        <v>55</v>
      </c>
      <c r="B173" t="s">
        <v>56</v>
      </c>
      <c r="C173">
        <v>2019</v>
      </c>
      <c r="D173" s="5">
        <v>35.880000000000003</v>
      </c>
      <c r="E173" s="5">
        <v>-7.79</v>
      </c>
      <c r="F173" s="5">
        <v>7.74</v>
      </c>
      <c r="G173" t="s">
        <v>41</v>
      </c>
    </row>
    <row r="174" spans="1:7">
      <c r="A174" t="s">
        <v>88</v>
      </c>
      <c r="B174" t="s">
        <v>56</v>
      </c>
      <c r="C174">
        <v>2019</v>
      </c>
      <c r="D174" s="5">
        <v>27.71</v>
      </c>
      <c r="E174" s="5">
        <v>-6.8</v>
      </c>
      <c r="F174" s="5">
        <v>7.74</v>
      </c>
      <c r="G174" t="s">
        <v>41</v>
      </c>
    </row>
    <row r="175" spans="1:7">
      <c r="A175" t="s">
        <v>85</v>
      </c>
      <c r="B175" t="s">
        <v>56</v>
      </c>
      <c r="C175">
        <v>2019</v>
      </c>
      <c r="D175" s="5">
        <v>38.9</v>
      </c>
      <c r="E175" s="5">
        <v>8.07</v>
      </c>
      <c r="F175" s="5">
        <v>7.74</v>
      </c>
      <c r="G175" t="s">
        <v>94</v>
      </c>
    </row>
    <row r="176" spans="1:7">
      <c r="A176" t="s">
        <v>83</v>
      </c>
      <c r="B176" t="s">
        <v>56</v>
      </c>
      <c r="C176">
        <v>2019</v>
      </c>
      <c r="D176" s="5">
        <v>33.229999999999997</v>
      </c>
      <c r="E176" s="5">
        <v>10.199999999999999</v>
      </c>
      <c r="F176" s="5">
        <v>7.74</v>
      </c>
      <c r="G176" t="s">
        <v>41</v>
      </c>
    </row>
    <row r="177" spans="1:7">
      <c r="A177" t="s">
        <v>108</v>
      </c>
      <c r="B177" t="s">
        <v>56</v>
      </c>
      <c r="C177">
        <v>2019</v>
      </c>
      <c r="D177" s="5">
        <v>22.77</v>
      </c>
      <c r="E177" s="5">
        <v>10.76</v>
      </c>
      <c r="F177" s="5">
        <v>7.74</v>
      </c>
      <c r="G177" t="s">
        <v>41</v>
      </c>
    </row>
    <row r="178" spans="1:7">
      <c r="A178" t="s">
        <v>73</v>
      </c>
      <c r="B178" t="s">
        <v>56</v>
      </c>
      <c r="C178">
        <v>2019</v>
      </c>
      <c r="D178" s="5">
        <v>53.02</v>
      </c>
      <c r="E178" s="5">
        <v>18.850000000000001</v>
      </c>
      <c r="F178" s="5">
        <v>7.74</v>
      </c>
      <c r="G178" t="s">
        <v>94</v>
      </c>
    </row>
    <row r="179" spans="1:7">
      <c r="A179" t="s">
        <v>102</v>
      </c>
      <c r="B179" t="s">
        <v>101</v>
      </c>
      <c r="C179">
        <v>2019</v>
      </c>
      <c r="D179" s="5">
        <v>50.93</v>
      </c>
      <c r="E179" s="5">
        <v>3.95</v>
      </c>
      <c r="F179" s="5">
        <v>0</v>
      </c>
      <c r="G179" t="s">
        <v>41</v>
      </c>
    </row>
    <row r="180" spans="1:7">
      <c r="A180" t="s">
        <v>86</v>
      </c>
      <c r="B180" t="s">
        <v>38</v>
      </c>
      <c r="C180">
        <v>2019</v>
      </c>
      <c r="D180" s="5">
        <v>44.59</v>
      </c>
      <c r="E180" s="5">
        <v>-7.39</v>
      </c>
      <c r="F180" s="5">
        <v>6.17</v>
      </c>
      <c r="G180" t="s">
        <v>41</v>
      </c>
    </row>
    <row r="181" spans="1:7">
      <c r="A181" t="s">
        <v>37</v>
      </c>
      <c r="B181" t="s">
        <v>38</v>
      </c>
      <c r="C181">
        <v>2019</v>
      </c>
      <c r="D181" s="5">
        <v>47.38</v>
      </c>
      <c r="E181" s="5">
        <v>2.5</v>
      </c>
      <c r="F181" s="5">
        <v>6.17</v>
      </c>
      <c r="G181" t="s">
        <v>41</v>
      </c>
    </row>
    <row r="182" spans="1:7">
      <c r="A182" t="s">
        <v>81</v>
      </c>
      <c r="B182" t="s">
        <v>38</v>
      </c>
      <c r="C182">
        <v>2019</v>
      </c>
      <c r="D182" s="5">
        <v>35.5</v>
      </c>
      <c r="E182" s="5">
        <v>-8.19</v>
      </c>
      <c r="F182" s="5">
        <v>6.17</v>
      </c>
      <c r="G182" t="s">
        <v>41</v>
      </c>
    </row>
    <row r="183" spans="1:7">
      <c r="A183" t="s">
        <v>80</v>
      </c>
      <c r="B183" t="s">
        <v>38</v>
      </c>
      <c r="C183">
        <v>2019</v>
      </c>
      <c r="D183" s="5">
        <v>28.49</v>
      </c>
      <c r="E183" s="5">
        <v>-15.73</v>
      </c>
      <c r="F183" s="5">
        <v>6.17</v>
      </c>
      <c r="G183" t="s">
        <v>41</v>
      </c>
    </row>
    <row r="184" spans="1:7">
      <c r="A184" t="s">
        <v>51</v>
      </c>
      <c r="B184" t="s">
        <v>38</v>
      </c>
      <c r="C184">
        <v>2019</v>
      </c>
      <c r="D184" s="5">
        <v>47.19</v>
      </c>
      <c r="E184" s="5">
        <v>-4.58</v>
      </c>
      <c r="F184" s="5">
        <v>6.17</v>
      </c>
      <c r="G184" t="s">
        <v>41</v>
      </c>
    </row>
    <row r="185" spans="1:7">
      <c r="A185" t="s">
        <v>76</v>
      </c>
      <c r="B185" t="s">
        <v>47</v>
      </c>
      <c r="C185">
        <v>2020</v>
      </c>
      <c r="D185" s="5">
        <v>36.58</v>
      </c>
      <c r="E185" s="5">
        <v>-3.63</v>
      </c>
      <c r="F185" s="5">
        <v>0.91</v>
      </c>
      <c r="G185" t="s">
        <v>41</v>
      </c>
    </row>
    <row r="186" spans="1:7">
      <c r="A186" t="s">
        <v>72</v>
      </c>
      <c r="B186" t="s">
        <v>47</v>
      </c>
      <c r="C186">
        <v>2020</v>
      </c>
      <c r="D186" s="5">
        <v>35.17</v>
      </c>
      <c r="E186" s="5"/>
      <c r="F186" s="5">
        <v>0.91</v>
      </c>
      <c r="G186" t="s">
        <v>41</v>
      </c>
    </row>
    <row r="187" spans="1:7">
      <c r="A187" t="s">
        <v>71</v>
      </c>
      <c r="B187" t="s">
        <v>47</v>
      </c>
      <c r="C187">
        <v>2020</v>
      </c>
      <c r="D187" s="5">
        <v>49.85</v>
      </c>
      <c r="E187" s="5">
        <v>-2.1800000000000002</v>
      </c>
      <c r="F187" s="5">
        <v>0.91</v>
      </c>
      <c r="G187" t="s">
        <v>41</v>
      </c>
    </row>
    <row r="188" spans="1:7">
      <c r="A188" t="s">
        <v>54</v>
      </c>
      <c r="B188" t="s">
        <v>47</v>
      </c>
      <c r="C188">
        <v>2020</v>
      </c>
      <c r="D188" s="5">
        <v>59.37</v>
      </c>
      <c r="E188" s="5">
        <v>3.53</v>
      </c>
      <c r="F188" s="5">
        <v>0.91</v>
      </c>
      <c r="G188" t="s">
        <v>41</v>
      </c>
    </row>
    <row r="189" spans="1:7">
      <c r="A189" t="s">
        <v>52</v>
      </c>
      <c r="B189" t="s">
        <v>47</v>
      </c>
      <c r="C189">
        <v>2020</v>
      </c>
      <c r="D189" s="5">
        <v>45.16</v>
      </c>
      <c r="E189" s="5">
        <v>-13.43</v>
      </c>
      <c r="F189" s="5">
        <v>0.91</v>
      </c>
      <c r="G189" t="s">
        <v>41</v>
      </c>
    </row>
    <row r="190" spans="1:7">
      <c r="A190" t="s">
        <v>66</v>
      </c>
      <c r="B190" t="s">
        <v>67</v>
      </c>
      <c r="C190">
        <v>2020</v>
      </c>
      <c r="D190" s="5">
        <v>60.48</v>
      </c>
      <c r="E190" s="5">
        <v>9.6</v>
      </c>
      <c r="F190" s="5">
        <v>3.42</v>
      </c>
      <c r="G190" t="s">
        <v>41</v>
      </c>
    </row>
    <row r="191" spans="1:7">
      <c r="A191" t="s">
        <v>77</v>
      </c>
      <c r="B191" t="s">
        <v>43</v>
      </c>
      <c r="C191">
        <v>2020</v>
      </c>
      <c r="D191" s="5">
        <v>63.67</v>
      </c>
      <c r="E191" s="5">
        <v>-0.15</v>
      </c>
      <c r="F191" s="5">
        <v>0.91</v>
      </c>
      <c r="G191" t="s">
        <v>41</v>
      </c>
    </row>
    <row r="192" spans="1:7">
      <c r="A192" t="s">
        <v>103</v>
      </c>
      <c r="B192" t="s">
        <v>96</v>
      </c>
      <c r="C192">
        <v>2020</v>
      </c>
      <c r="D192" s="5">
        <v>60.62</v>
      </c>
      <c r="E192" s="5">
        <v>6.87</v>
      </c>
      <c r="F192" s="5">
        <v>3.42</v>
      </c>
      <c r="G192" t="s">
        <v>41</v>
      </c>
    </row>
    <row r="193" spans="1:7">
      <c r="A193" t="s">
        <v>95</v>
      </c>
      <c r="B193" t="s">
        <v>96</v>
      </c>
      <c r="C193">
        <v>2020</v>
      </c>
      <c r="D193" s="5">
        <v>28.33</v>
      </c>
      <c r="E193" s="5">
        <v>1.46</v>
      </c>
      <c r="F193" s="5">
        <v>3.42</v>
      </c>
      <c r="G193" t="s">
        <v>41</v>
      </c>
    </row>
    <row r="194" spans="1:7">
      <c r="A194" t="s">
        <v>87</v>
      </c>
      <c r="B194" t="s">
        <v>56</v>
      </c>
      <c r="C194">
        <v>2020</v>
      </c>
      <c r="D194" s="5">
        <v>17.190000000000001</v>
      </c>
      <c r="E194" s="5">
        <v>2.5099999999999998</v>
      </c>
      <c r="F194" s="5">
        <v>7.87</v>
      </c>
      <c r="G194" t="s">
        <v>41</v>
      </c>
    </row>
    <row r="195" spans="1:7">
      <c r="A195" t="s">
        <v>68</v>
      </c>
      <c r="B195" t="s">
        <v>56</v>
      </c>
      <c r="C195">
        <v>2020</v>
      </c>
      <c r="D195" s="5">
        <v>29.12</v>
      </c>
      <c r="E195" s="5">
        <v>3.87</v>
      </c>
      <c r="F195" s="5">
        <v>7.87</v>
      </c>
      <c r="G195" t="s">
        <v>41</v>
      </c>
    </row>
    <row r="196" spans="1:7">
      <c r="A196" t="s">
        <v>55</v>
      </c>
      <c r="B196" t="s">
        <v>56</v>
      </c>
      <c r="C196">
        <v>2020</v>
      </c>
      <c r="D196" s="5">
        <v>46.55</v>
      </c>
      <c r="E196" s="5">
        <v>10.67</v>
      </c>
      <c r="F196" s="5">
        <v>7.87</v>
      </c>
      <c r="G196" t="s">
        <v>41</v>
      </c>
    </row>
    <row r="197" spans="1:7">
      <c r="A197" t="s">
        <v>88</v>
      </c>
      <c r="B197" t="s">
        <v>56</v>
      </c>
      <c r="C197">
        <v>2020</v>
      </c>
      <c r="D197" s="5">
        <v>21.87</v>
      </c>
      <c r="E197" s="5">
        <v>-5.84</v>
      </c>
      <c r="F197" s="5">
        <v>7.87</v>
      </c>
      <c r="G197" t="s">
        <v>41</v>
      </c>
    </row>
    <row r="198" spans="1:7">
      <c r="A198" t="s">
        <v>85</v>
      </c>
      <c r="B198" t="s">
        <v>56</v>
      </c>
      <c r="C198">
        <v>2020</v>
      </c>
      <c r="D198" s="5">
        <v>34.43</v>
      </c>
      <c r="E198" s="5">
        <v>-4.47</v>
      </c>
      <c r="F198" s="5">
        <v>7.87</v>
      </c>
      <c r="G198" t="s">
        <v>41</v>
      </c>
    </row>
    <row r="199" spans="1:7">
      <c r="A199" t="s">
        <v>65</v>
      </c>
      <c r="B199" t="s">
        <v>56</v>
      </c>
      <c r="C199">
        <v>2020</v>
      </c>
      <c r="D199" s="5">
        <v>44.44</v>
      </c>
      <c r="E199" s="5">
        <v>-0.66</v>
      </c>
      <c r="F199" s="5">
        <v>7.87</v>
      </c>
      <c r="G199" t="s">
        <v>41</v>
      </c>
    </row>
    <row r="200" spans="1:7">
      <c r="A200" t="s">
        <v>57</v>
      </c>
      <c r="B200" t="s">
        <v>56</v>
      </c>
      <c r="C200">
        <v>2020</v>
      </c>
      <c r="D200" s="5">
        <v>40.06</v>
      </c>
      <c r="E200" s="5">
        <v>-1.7150000000000001</v>
      </c>
      <c r="F200" s="5">
        <v>7.87</v>
      </c>
      <c r="G200" t="s">
        <v>41</v>
      </c>
    </row>
    <row r="201" spans="1:7">
      <c r="A201" t="s">
        <v>78</v>
      </c>
      <c r="B201" t="s">
        <v>56</v>
      </c>
      <c r="C201">
        <v>2020</v>
      </c>
      <c r="D201" s="5">
        <v>28.92</v>
      </c>
      <c r="E201" s="5">
        <v>-2.2370000000000001</v>
      </c>
      <c r="F201" s="5">
        <v>7.87</v>
      </c>
      <c r="G201" t="s">
        <v>41</v>
      </c>
    </row>
    <row r="202" spans="1:7">
      <c r="A202" t="s">
        <v>59</v>
      </c>
      <c r="B202" t="s">
        <v>56</v>
      </c>
      <c r="C202">
        <v>2020</v>
      </c>
      <c r="D202" s="5">
        <v>33.33</v>
      </c>
      <c r="E202" s="5">
        <v>-10.525</v>
      </c>
      <c r="F202" s="5">
        <v>7.87</v>
      </c>
      <c r="G202" t="s">
        <v>41</v>
      </c>
    </row>
    <row r="203" spans="1:7">
      <c r="A203" t="s">
        <v>82</v>
      </c>
      <c r="B203" t="s">
        <v>56</v>
      </c>
      <c r="C203">
        <v>2020</v>
      </c>
      <c r="D203" s="5">
        <v>46.71</v>
      </c>
      <c r="E203" s="5">
        <v>2.9670000000000001</v>
      </c>
      <c r="F203" s="5">
        <v>7.87</v>
      </c>
      <c r="G203" t="s">
        <v>41</v>
      </c>
    </row>
    <row r="204" spans="1:7">
      <c r="A204" t="s">
        <v>73</v>
      </c>
      <c r="B204" t="s">
        <v>56</v>
      </c>
      <c r="C204">
        <v>2020</v>
      </c>
      <c r="D204" s="5">
        <v>34.99</v>
      </c>
      <c r="E204" s="5">
        <v>-18.03</v>
      </c>
      <c r="F204" s="5">
        <v>7.87</v>
      </c>
      <c r="G204" t="s">
        <v>41</v>
      </c>
    </row>
    <row r="205" spans="1:7">
      <c r="A205" t="s">
        <v>86</v>
      </c>
      <c r="B205" t="s">
        <v>38</v>
      </c>
      <c r="C205">
        <v>2020</v>
      </c>
      <c r="D205" s="5">
        <v>46.65</v>
      </c>
      <c r="E205" s="5">
        <v>2.06</v>
      </c>
      <c r="F205" s="5">
        <v>5.33</v>
      </c>
      <c r="G205" t="s">
        <v>41</v>
      </c>
    </row>
    <row r="206" spans="1:7">
      <c r="A206" t="s">
        <v>37</v>
      </c>
      <c r="B206" t="s">
        <v>38</v>
      </c>
      <c r="C206">
        <v>2020</v>
      </c>
      <c r="D206" s="5">
        <v>44.5</v>
      </c>
      <c r="E206" s="5">
        <v>-2.88</v>
      </c>
      <c r="F206" s="5">
        <v>5.33</v>
      </c>
      <c r="G206" t="s">
        <v>41</v>
      </c>
    </row>
    <row r="207" spans="1:7">
      <c r="A207" t="s">
        <v>81</v>
      </c>
      <c r="B207" t="s">
        <v>38</v>
      </c>
      <c r="C207">
        <v>2020</v>
      </c>
      <c r="D207" s="5">
        <v>38.11</v>
      </c>
      <c r="E207" s="5">
        <v>2.61</v>
      </c>
      <c r="F207" s="5">
        <v>5.33</v>
      </c>
      <c r="G207" t="s">
        <v>41</v>
      </c>
    </row>
    <row r="208" spans="1:7">
      <c r="A208" t="s">
        <v>80</v>
      </c>
      <c r="B208" t="s">
        <v>38</v>
      </c>
      <c r="C208">
        <v>2020</v>
      </c>
      <c r="D208" s="5">
        <v>35.46</v>
      </c>
      <c r="E208" s="5">
        <v>6.97</v>
      </c>
      <c r="F208" s="5">
        <v>5.33</v>
      </c>
      <c r="G208" t="s">
        <v>41</v>
      </c>
    </row>
    <row r="209" spans="1:7">
      <c r="A209" t="s">
        <v>51</v>
      </c>
      <c r="B209" t="s">
        <v>38</v>
      </c>
      <c r="C209">
        <v>2020</v>
      </c>
      <c r="D209" s="5">
        <v>52.4</v>
      </c>
      <c r="E209" s="5">
        <v>5.21</v>
      </c>
      <c r="F209" s="5">
        <v>5.33</v>
      </c>
      <c r="G209" t="s">
        <v>41</v>
      </c>
    </row>
    <row r="210" spans="1:7">
      <c r="A210" t="s">
        <v>76</v>
      </c>
      <c r="B210" t="s">
        <v>47</v>
      </c>
      <c r="C210">
        <v>2021</v>
      </c>
      <c r="D210" s="5">
        <v>38.65</v>
      </c>
      <c r="E210" s="5">
        <v>2.0699999999999998</v>
      </c>
      <c r="F210" s="5">
        <v>0.16</v>
      </c>
      <c r="G210" t="s">
        <v>41</v>
      </c>
    </row>
    <row r="211" spans="1:7">
      <c r="A211" t="s">
        <v>72</v>
      </c>
      <c r="B211" t="s">
        <v>47</v>
      </c>
      <c r="C211">
        <v>2021</v>
      </c>
      <c r="D211" s="5">
        <v>39.81</v>
      </c>
      <c r="E211" s="5">
        <v>4.6399999999999997</v>
      </c>
      <c r="F211" s="5">
        <v>0.16</v>
      </c>
      <c r="G211" t="s">
        <v>41</v>
      </c>
    </row>
    <row r="212" spans="1:7">
      <c r="A212" t="s">
        <v>53</v>
      </c>
      <c r="B212" t="s">
        <v>47</v>
      </c>
      <c r="C212">
        <v>2021</v>
      </c>
      <c r="D212" s="5">
        <v>49.38</v>
      </c>
      <c r="E212" s="5"/>
      <c r="F212" s="5">
        <v>0.16</v>
      </c>
      <c r="G212" t="s">
        <v>41</v>
      </c>
    </row>
    <row r="213" spans="1:7">
      <c r="A213" t="s">
        <v>71</v>
      </c>
      <c r="B213" t="s">
        <v>47</v>
      </c>
      <c r="C213">
        <v>2021</v>
      </c>
      <c r="D213" s="5">
        <v>43.91</v>
      </c>
      <c r="E213" s="5">
        <v>-5.94</v>
      </c>
      <c r="F213" s="5">
        <v>0.16</v>
      </c>
      <c r="G213" t="s">
        <v>41</v>
      </c>
    </row>
    <row r="214" spans="1:7">
      <c r="A214" t="s">
        <v>54</v>
      </c>
      <c r="B214" t="s">
        <v>47</v>
      </c>
      <c r="C214">
        <v>2021</v>
      </c>
      <c r="D214" s="5">
        <v>45.93</v>
      </c>
      <c r="E214" s="5">
        <v>-13.44</v>
      </c>
      <c r="F214" s="5">
        <v>0.16</v>
      </c>
      <c r="G214" t="s">
        <v>41</v>
      </c>
    </row>
    <row r="215" spans="1:7">
      <c r="A215" t="s">
        <v>52</v>
      </c>
      <c r="B215" t="s">
        <v>47</v>
      </c>
      <c r="C215">
        <v>2021</v>
      </c>
      <c r="D215" s="5">
        <v>48.13</v>
      </c>
      <c r="E215" s="5">
        <v>2.97</v>
      </c>
      <c r="F215" s="5">
        <v>0.16</v>
      </c>
      <c r="G215" t="s">
        <v>41</v>
      </c>
    </row>
    <row r="216" spans="1:7">
      <c r="A216" t="s">
        <v>66</v>
      </c>
      <c r="B216" t="s">
        <v>67</v>
      </c>
      <c r="C216">
        <v>2021</v>
      </c>
      <c r="D216" s="5">
        <v>44.88</v>
      </c>
      <c r="E216" s="5">
        <v>-15.6</v>
      </c>
      <c r="F216" s="5">
        <v>1.56</v>
      </c>
      <c r="G216" t="s">
        <v>41</v>
      </c>
    </row>
    <row r="217" spans="1:7">
      <c r="A217" t="s">
        <v>89</v>
      </c>
      <c r="B217" t="s">
        <v>89</v>
      </c>
      <c r="C217">
        <v>2021</v>
      </c>
      <c r="D217" s="5">
        <v>35.61</v>
      </c>
      <c r="E217" s="5"/>
      <c r="F217" s="5">
        <v>1.58</v>
      </c>
      <c r="G217" t="s">
        <v>41</v>
      </c>
    </row>
    <row r="218" spans="1:7">
      <c r="A218" t="s">
        <v>74</v>
      </c>
      <c r="B218" t="s">
        <v>75</v>
      </c>
      <c r="C218">
        <v>2021</v>
      </c>
      <c r="D218" s="5">
        <v>50.95</v>
      </c>
      <c r="E218" s="5"/>
      <c r="F218" s="5">
        <v>1.58</v>
      </c>
      <c r="G218" t="s">
        <v>41</v>
      </c>
    </row>
    <row r="219" spans="1:7">
      <c r="A219" t="s">
        <v>77</v>
      </c>
      <c r="B219" t="s">
        <v>43</v>
      </c>
      <c r="C219">
        <v>2021</v>
      </c>
      <c r="D219" s="5">
        <v>60.59</v>
      </c>
      <c r="E219" s="5">
        <v>-3.08</v>
      </c>
      <c r="F219" s="5">
        <v>0.16</v>
      </c>
      <c r="G219" t="s">
        <v>41</v>
      </c>
    </row>
    <row r="220" spans="1:7">
      <c r="A220" t="s">
        <v>87</v>
      </c>
      <c r="B220" t="s">
        <v>56</v>
      </c>
      <c r="C220">
        <v>2021</v>
      </c>
      <c r="D220" s="5">
        <v>18.23</v>
      </c>
      <c r="E220" s="5">
        <v>1.04</v>
      </c>
      <c r="F220" s="5">
        <v>2.1800000000000002</v>
      </c>
      <c r="G220" t="s">
        <v>41</v>
      </c>
    </row>
    <row r="221" spans="1:7">
      <c r="A221" t="s">
        <v>68</v>
      </c>
      <c r="B221" t="s">
        <v>56</v>
      </c>
      <c r="C221">
        <v>2021</v>
      </c>
      <c r="D221" s="5">
        <v>32.659999999999997</v>
      </c>
      <c r="E221" s="5">
        <v>3.54</v>
      </c>
      <c r="F221" s="5">
        <v>2.1800000000000002</v>
      </c>
      <c r="G221" t="s">
        <v>41</v>
      </c>
    </row>
    <row r="222" spans="1:7">
      <c r="A222" t="s">
        <v>55</v>
      </c>
      <c r="B222" t="s">
        <v>56</v>
      </c>
      <c r="C222">
        <v>2021</v>
      </c>
      <c r="D222" s="5">
        <v>39.15</v>
      </c>
      <c r="E222" s="5">
        <v>-7.4</v>
      </c>
      <c r="F222" s="5">
        <v>2.1800000000000002</v>
      </c>
      <c r="G222" t="s">
        <v>41</v>
      </c>
    </row>
    <row r="223" spans="1:7">
      <c r="A223" t="s">
        <v>60</v>
      </c>
      <c r="B223" t="s">
        <v>56</v>
      </c>
      <c r="C223">
        <v>2021</v>
      </c>
      <c r="D223" s="5">
        <v>67.08</v>
      </c>
      <c r="E223" s="5"/>
      <c r="F223" s="5">
        <v>2.1800000000000002</v>
      </c>
      <c r="G223" t="s">
        <v>41</v>
      </c>
    </row>
    <row r="224" spans="1:7">
      <c r="A224" t="s">
        <v>88</v>
      </c>
      <c r="B224" t="s">
        <v>56</v>
      </c>
      <c r="C224">
        <v>2021</v>
      </c>
      <c r="D224" s="5">
        <v>27.8</v>
      </c>
      <c r="E224" s="5">
        <v>5.93</v>
      </c>
      <c r="F224" s="5">
        <v>2.1800000000000002</v>
      </c>
      <c r="G224" t="s">
        <v>41</v>
      </c>
    </row>
    <row r="225" spans="1:7">
      <c r="A225" t="s">
        <v>85</v>
      </c>
      <c r="B225" t="s">
        <v>56</v>
      </c>
      <c r="C225">
        <v>2021</v>
      </c>
      <c r="D225" s="5">
        <v>37.81</v>
      </c>
      <c r="E225" s="5">
        <v>3.38</v>
      </c>
      <c r="F225" s="5">
        <v>2.1800000000000002</v>
      </c>
      <c r="G225" t="s">
        <v>41</v>
      </c>
    </row>
    <row r="226" spans="1:7">
      <c r="A226" t="s">
        <v>83</v>
      </c>
      <c r="B226" t="s">
        <v>56</v>
      </c>
      <c r="C226">
        <v>2021</v>
      </c>
      <c r="D226" s="5">
        <v>21.37</v>
      </c>
      <c r="E226" s="5">
        <v>-5.93</v>
      </c>
      <c r="F226" s="5">
        <v>2.1800000000000002</v>
      </c>
      <c r="G226" t="s">
        <v>41</v>
      </c>
    </row>
    <row r="227" spans="1:7">
      <c r="A227" t="s">
        <v>65</v>
      </c>
      <c r="B227" t="s">
        <v>56</v>
      </c>
      <c r="C227">
        <v>2021</v>
      </c>
      <c r="D227" s="5">
        <v>46.69</v>
      </c>
      <c r="E227" s="5">
        <v>2.25</v>
      </c>
      <c r="F227" s="5">
        <v>2.1800000000000002</v>
      </c>
      <c r="G227" t="s">
        <v>41</v>
      </c>
    </row>
    <row r="228" spans="1:7">
      <c r="A228" t="s">
        <v>57</v>
      </c>
      <c r="B228" t="s">
        <v>56</v>
      </c>
      <c r="C228">
        <v>2021</v>
      </c>
      <c r="D228" s="5">
        <v>54.48</v>
      </c>
      <c r="E228" s="5">
        <v>14.42</v>
      </c>
      <c r="F228" s="5">
        <v>2.1800000000000002</v>
      </c>
      <c r="G228" t="s">
        <v>41</v>
      </c>
    </row>
    <row r="229" spans="1:7">
      <c r="A229" t="s">
        <v>78</v>
      </c>
      <c r="B229" t="s">
        <v>56</v>
      </c>
      <c r="C229">
        <v>2021</v>
      </c>
      <c r="D229" s="5">
        <v>43.58</v>
      </c>
      <c r="E229" s="5">
        <v>14.66</v>
      </c>
      <c r="F229" s="5">
        <v>2.1800000000000002</v>
      </c>
      <c r="G229" t="s">
        <v>41</v>
      </c>
    </row>
    <row r="230" spans="1:7">
      <c r="A230" t="s">
        <v>59</v>
      </c>
      <c r="B230" t="s">
        <v>56</v>
      </c>
      <c r="C230">
        <v>2021</v>
      </c>
      <c r="D230" s="5">
        <v>36.049999999999997</v>
      </c>
      <c r="E230" s="5">
        <v>2.72</v>
      </c>
      <c r="F230" s="5">
        <v>2.1800000000000002</v>
      </c>
      <c r="G230" t="s">
        <v>41</v>
      </c>
    </row>
    <row r="231" spans="1:7">
      <c r="A231" t="s">
        <v>82</v>
      </c>
      <c r="B231" t="s">
        <v>56</v>
      </c>
      <c r="C231">
        <v>2021</v>
      </c>
      <c r="D231" s="5">
        <v>48.35</v>
      </c>
      <c r="E231" s="5">
        <v>1.64</v>
      </c>
      <c r="F231" s="5">
        <v>2.1800000000000002</v>
      </c>
      <c r="G231" t="s">
        <v>41</v>
      </c>
    </row>
    <row r="232" spans="1:7">
      <c r="A232" t="s">
        <v>73</v>
      </c>
      <c r="B232" t="s">
        <v>56</v>
      </c>
      <c r="C232">
        <v>2021</v>
      </c>
      <c r="D232" s="5">
        <v>35.83</v>
      </c>
      <c r="E232" s="5">
        <v>0.84</v>
      </c>
      <c r="F232" s="5">
        <v>2.1800000000000002</v>
      </c>
      <c r="G232" t="s">
        <v>41</v>
      </c>
    </row>
    <row r="233" spans="1:7">
      <c r="A233" t="s">
        <v>86</v>
      </c>
      <c r="B233" t="s">
        <v>38</v>
      </c>
      <c r="C233">
        <v>2021</v>
      </c>
      <c r="D233" s="5">
        <v>55.52</v>
      </c>
      <c r="E233" s="5">
        <v>8.8699999999999992</v>
      </c>
      <c r="F233" s="5">
        <v>1.58</v>
      </c>
      <c r="G233" t="s">
        <v>41</v>
      </c>
    </row>
    <row r="234" spans="1:7">
      <c r="A234" t="s">
        <v>37</v>
      </c>
      <c r="B234" t="s">
        <v>38</v>
      </c>
      <c r="C234">
        <v>2021</v>
      </c>
      <c r="D234" s="5">
        <v>43.39</v>
      </c>
      <c r="E234" s="5">
        <v>-1.1100000000000001</v>
      </c>
      <c r="F234" s="5">
        <v>1.58</v>
      </c>
      <c r="G234" t="s">
        <v>41</v>
      </c>
    </row>
    <row r="235" spans="1:7">
      <c r="A235" t="s">
        <v>81</v>
      </c>
      <c r="B235" t="s">
        <v>38</v>
      </c>
      <c r="C235">
        <v>2021</v>
      </c>
      <c r="D235" s="5">
        <v>42.43</v>
      </c>
      <c r="E235" s="5">
        <v>4.32</v>
      </c>
      <c r="F235" s="5">
        <v>1.58</v>
      </c>
      <c r="G235" t="s">
        <v>41</v>
      </c>
    </row>
    <row r="236" spans="1:7">
      <c r="A236" t="s">
        <v>80</v>
      </c>
      <c r="B236" t="s">
        <v>38</v>
      </c>
      <c r="C236">
        <v>2021</v>
      </c>
      <c r="D236" s="5">
        <v>55.82</v>
      </c>
      <c r="E236" s="5">
        <v>20.36</v>
      </c>
      <c r="F236" s="5">
        <v>1.58</v>
      </c>
      <c r="G236" t="s">
        <v>41</v>
      </c>
    </row>
    <row r="237" spans="1:7">
      <c r="A237" t="s">
        <v>51</v>
      </c>
      <c r="B237" t="s">
        <v>38</v>
      </c>
      <c r="C237">
        <v>2021</v>
      </c>
      <c r="D237" s="5">
        <v>57.8</v>
      </c>
      <c r="E237" s="5">
        <v>5.4</v>
      </c>
      <c r="F237" s="5">
        <v>1.58</v>
      </c>
      <c r="G237" t="s">
        <v>41</v>
      </c>
    </row>
    <row r="238" spans="1:7">
      <c r="A238" t="s">
        <v>76</v>
      </c>
      <c r="B238" t="s">
        <v>47</v>
      </c>
      <c r="C238">
        <v>2022</v>
      </c>
      <c r="D238" s="5">
        <v>39.17</v>
      </c>
      <c r="E238" s="5">
        <v>0.52</v>
      </c>
      <c r="F238" s="5">
        <v>0.33</v>
      </c>
      <c r="G238" t="s">
        <v>41</v>
      </c>
    </row>
    <row r="239" spans="1:7">
      <c r="A239" t="s">
        <v>72</v>
      </c>
      <c r="B239" t="s">
        <v>47</v>
      </c>
      <c r="C239">
        <v>2022</v>
      </c>
      <c r="D239" s="5">
        <v>48.39</v>
      </c>
      <c r="E239" s="5">
        <v>8.58</v>
      </c>
      <c r="F239" s="5">
        <v>0.33</v>
      </c>
      <c r="G239" t="s">
        <v>94</v>
      </c>
    </row>
    <row r="240" spans="1:7">
      <c r="A240" t="s">
        <v>64</v>
      </c>
      <c r="B240" t="s">
        <v>47</v>
      </c>
      <c r="C240">
        <v>2022</v>
      </c>
      <c r="D240" s="5">
        <v>56.94</v>
      </c>
      <c r="E240" s="5"/>
      <c r="F240" s="5">
        <v>0.33</v>
      </c>
      <c r="G240" t="s">
        <v>94</v>
      </c>
    </row>
    <row r="241" spans="1:7">
      <c r="A241" t="s">
        <v>61</v>
      </c>
      <c r="B241" t="s">
        <v>47</v>
      </c>
      <c r="C241">
        <v>2022</v>
      </c>
      <c r="D241" s="5">
        <v>52.59</v>
      </c>
      <c r="E241" s="5"/>
      <c r="F241" s="5">
        <v>0.33</v>
      </c>
      <c r="G241" t="s">
        <v>94</v>
      </c>
    </row>
    <row r="242" spans="1:7">
      <c r="A242" t="s">
        <v>70</v>
      </c>
      <c r="B242" t="s">
        <v>47</v>
      </c>
      <c r="C242">
        <v>2022</v>
      </c>
      <c r="D242" s="5">
        <v>53.19</v>
      </c>
      <c r="E242" s="5"/>
      <c r="F242" s="5">
        <v>0.33</v>
      </c>
      <c r="G242" t="s">
        <v>94</v>
      </c>
    </row>
    <row r="243" spans="1:7">
      <c r="A243" t="s">
        <v>53</v>
      </c>
      <c r="B243" t="s">
        <v>47</v>
      </c>
      <c r="C243">
        <v>2022</v>
      </c>
      <c r="D243" s="5">
        <v>51.88</v>
      </c>
      <c r="E243" s="5">
        <v>2.5</v>
      </c>
      <c r="F243" s="5">
        <v>0.33</v>
      </c>
      <c r="G243" t="s">
        <v>41</v>
      </c>
    </row>
    <row r="244" spans="1:7">
      <c r="A244" t="s">
        <v>48</v>
      </c>
      <c r="B244" t="s">
        <v>47</v>
      </c>
      <c r="C244">
        <v>2022</v>
      </c>
      <c r="D244" s="5">
        <v>69.2</v>
      </c>
      <c r="E244" s="5"/>
      <c r="F244" s="5">
        <v>0.33</v>
      </c>
      <c r="G244" t="s">
        <v>94</v>
      </c>
    </row>
    <row r="245" spans="1:7">
      <c r="A245" t="s">
        <v>46</v>
      </c>
      <c r="B245" t="s">
        <v>47</v>
      </c>
      <c r="C245">
        <v>2022</v>
      </c>
      <c r="D245" s="5">
        <v>76.040000000000006</v>
      </c>
      <c r="E245" s="5"/>
      <c r="F245" s="5">
        <v>0.33</v>
      </c>
      <c r="G245" t="s">
        <v>94</v>
      </c>
    </row>
    <row r="246" spans="1:7">
      <c r="A246" t="s">
        <v>71</v>
      </c>
      <c r="B246" t="s">
        <v>47</v>
      </c>
      <c r="C246">
        <v>2022</v>
      </c>
      <c r="D246" s="5">
        <v>48.91</v>
      </c>
      <c r="E246" s="5">
        <v>5</v>
      </c>
      <c r="F246" s="5">
        <v>0.33</v>
      </c>
      <c r="G246" t="s">
        <v>94</v>
      </c>
    </row>
    <row r="247" spans="1:7">
      <c r="A247" t="s">
        <v>63</v>
      </c>
      <c r="B247" t="s">
        <v>47</v>
      </c>
      <c r="C247">
        <v>2022</v>
      </c>
      <c r="D247" s="5">
        <v>62.35</v>
      </c>
      <c r="E247" s="5">
        <v>-4.093</v>
      </c>
      <c r="F247" s="5">
        <v>0.33</v>
      </c>
      <c r="G247" t="s">
        <v>41</v>
      </c>
    </row>
    <row r="248" spans="1:7">
      <c r="A248" t="s">
        <v>54</v>
      </c>
      <c r="B248" t="s">
        <v>47</v>
      </c>
      <c r="C248">
        <v>2022</v>
      </c>
      <c r="D248" s="5">
        <v>53.85</v>
      </c>
      <c r="E248" s="5">
        <v>7.92</v>
      </c>
      <c r="F248" s="5">
        <v>0.33</v>
      </c>
      <c r="G248" t="s">
        <v>94</v>
      </c>
    </row>
    <row r="249" spans="1:7">
      <c r="A249" t="s">
        <v>62</v>
      </c>
      <c r="B249" t="s">
        <v>47</v>
      </c>
      <c r="C249">
        <v>2022</v>
      </c>
      <c r="D249" s="5">
        <v>53.41</v>
      </c>
      <c r="E249" s="5">
        <v>1.4319999999999999</v>
      </c>
      <c r="F249" s="5">
        <v>0.33</v>
      </c>
      <c r="G249" t="s">
        <v>94</v>
      </c>
    </row>
    <row r="250" spans="1:7">
      <c r="A250" t="s">
        <v>52</v>
      </c>
      <c r="B250" t="s">
        <v>47</v>
      </c>
      <c r="C250">
        <v>2022</v>
      </c>
      <c r="D250" s="5">
        <v>48.28</v>
      </c>
      <c r="E250" s="5">
        <v>0.15</v>
      </c>
      <c r="F250" s="5">
        <v>0.33</v>
      </c>
      <c r="G250" t="s">
        <v>94</v>
      </c>
    </row>
    <row r="251" spans="1:7">
      <c r="A251" t="s">
        <v>66</v>
      </c>
      <c r="B251" t="s">
        <v>67</v>
      </c>
      <c r="C251">
        <v>2022</v>
      </c>
      <c r="D251" s="5">
        <v>57.13</v>
      </c>
      <c r="E251" s="5">
        <v>12.25</v>
      </c>
      <c r="F251" s="5">
        <v>0.15</v>
      </c>
      <c r="G251" t="s">
        <v>41</v>
      </c>
    </row>
    <row r="252" spans="1:7">
      <c r="A252" t="s">
        <v>111</v>
      </c>
      <c r="B252" t="s">
        <v>67</v>
      </c>
      <c r="C252">
        <v>2022</v>
      </c>
      <c r="D252" s="5">
        <v>67.510000000000005</v>
      </c>
      <c r="E252" s="5"/>
      <c r="F252" s="5">
        <v>0.15</v>
      </c>
      <c r="G252" t="s">
        <v>41</v>
      </c>
    </row>
    <row r="253" spans="1:7">
      <c r="A253" t="s">
        <v>89</v>
      </c>
      <c r="B253" t="s">
        <v>89</v>
      </c>
      <c r="C253">
        <v>2022</v>
      </c>
      <c r="D253" s="5">
        <v>30.12</v>
      </c>
      <c r="E253" s="5">
        <v>-5.49</v>
      </c>
      <c r="F253" s="5">
        <v>1.1299999999999999</v>
      </c>
      <c r="G253" t="s">
        <v>41</v>
      </c>
    </row>
    <row r="254" spans="1:7">
      <c r="A254" t="s">
        <v>74</v>
      </c>
      <c r="B254" t="s">
        <v>75</v>
      </c>
      <c r="C254">
        <v>2022</v>
      </c>
      <c r="D254" s="5">
        <v>16.57</v>
      </c>
      <c r="E254" s="5">
        <v>-34.380000000000003</v>
      </c>
      <c r="F254" s="5">
        <v>1.1299999999999999</v>
      </c>
      <c r="G254" t="s">
        <v>41</v>
      </c>
    </row>
    <row r="255" spans="1:7">
      <c r="A255" t="s">
        <v>77</v>
      </c>
      <c r="B255" t="s">
        <v>43</v>
      </c>
      <c r="C255">
        <v>2022</v>
      </c>
      <c r="D255" s="5">
        <v>63.37</v>
      </c>
      <c r="E255" s="5">
        <v>2.78</v>
      </c>
      <c r="F255" s="5">
        <v>0.33</v>
      </c>
      <c r="G255" t="s">
        <v>94</v>
      </c>
    </row>
    <row r="256" spans="1:7">
      <c r="A256" t="s">
        <v>103</v>
      </c>
      <c r="B256" t="s">
        <v>96</v>
      </c>
      <c r="C256">
        <v>2022</v>
      </c>
      <c r="D256" s="5">
        <v>61.26</v>
      </c>
      <c r="E256" s="5">
        <v>0.32</v>
      </c>
      <c r="F256" s="5">
        <v>0.15</v>
      </c>
      <c r="G256" t="s">
        <v>41</v>
      </c>
    </row>
    <row r="257" spans="1:7">
      <c r="A257" t="s">
        <v>95</v>
      </c>
      <c r="B257" t="s">
        <v>96</v>
      </c>
      <c r="C257">
        <v>2022</v>
      </c>
      <c r="D257" s="5">
        <v>29.31</v>
      </c>
      <c r="E257" s="5">
        <v>0.49</v>
      </c>
      <c r="F257" s="5">
        <v>0.15</v>
      </c>
      <c r="G257" t="s">
        <v>94</v>
      </c>
    </row>
    <row r="258" spans="1:7">
      <c r="A258" t="s">
        <v>87</v>
      </c>
      <c r="B258" t="s">
        <v>56</v>
      </c>
      <c r="C258">
        <v>2022</v>
      </c>
      <c r="D258" s="5">
        <v>24.27</v>
      </c>
      <c r="E258" s="5">
        <v>6.04</v>
      </c>
      <c r="F258" s="5">
        <v>0.92</v>
      </c>
      <c r="G258" t="s">
        <v>94</v>
      </c>
    </row>
    <row r="259" spans="1:7">
      <c r="A259" t="s">
        <v>3</v>
      </c>
      <c r="B259" t="s">
        <v>32</v>
      </c>
      <c r="C259">
        <v>2022</v>
      </c>
      <c r="D259" s="5">
        <v>42.19</v>
      </c>
      <c r="E259" s="5">
        <v>4.2169999999999996</v>
      </c>
      <c r="F259" s="5">
        <v>0.92</v>
      </c>
      <c r="G259" t="s">
        <v>94</v>
      </c>
    </row>
    <row r="260" spans="1:7">
      <c r="A260" t="s">
        <v>68</v>
      </c>
      <c r="B260" t="s">
        <v>56</v>
      </c>
      <c r="C260">
        <v>2022</v>
      </c>
      <c r="D260" s="5">
        <v>43</v>
      </c>
      <c r="E260" s="5">
        <v>10.34</v>
      </c>
      <c r="F260" s="5">
        <v>0.92</v>
      </c>
      <c r="G260" t="s">
        <v>94</v>
      </c>
    </row>
    <row r="261" spans="1:7">
      <c r="A261" t="s">
        <v>55</v>
      </c>
      <c r="B261" t="s">
        <v>56</v>
      </c>
      <c r="C261">
        <v>2022</v>
      </c>
      <c r="D261" s="5">
        <v>54.92</v>
      </c>
      <c r="E261" s="5">
        <v>15.77</v>
      </c>
      <c r="F261" s="5">
        <v>0.92</v>
      </c>
      <c r="G261" t="s">
        <v>94</v>
      </c>
    </row>
    <row r="262" spans="1:7">
      <c r="A262" t="s">
        <v>60</v>
      </c>
      <c r="B262" t="s">
        <v>56</v>
      </c>
      <c r="C262">
        <v>2022</v>
      </c>
      <c r="D262" s="5">
        <v>55.63</v>
      </c>
      <c r="E262" s="5">
        <v>-11.45</v>
      </c>
      <c r="F262" s="5">
        <v>0.92</v>
      </c>
      <c r="G262" t="s">
        <v>94</v>
      </c>
    </row>
    <row r="263" spans="1:7">
      <c r="A263" t="s">
        <v>88</v>
      </c>
      <c r="B263" t="s">
        <v>56</v>
      </c>
      <c r="C263">
        <v>2022</v>
      </c>
      <c r="D263" s="5">
        <v>33.229999999999997</v>
      </c>
      <c r="E263" s="5">
        <v>5.43</v>
      </c>
      <c r="F263" s="5">
        <v>0.92</v>
      </c>
      <c r="G263" t="s">
        <v>94</v>
      </c>
    </row>
    <row r="264" spans="1:7">
      <c r="A264" t="s">
        <v>85</v>
      </c>
      <c r="B264" t="s">
        <v>56</v>
      </c>
      <c r="C264">
        <v>2022</v>
      </c>
      <c r="D264" s="5">
        <v>51.93</v>
      </c>
      <c r="E264" s="5">
        <v>14.12</v>
      </c>
      <c r="F264" s="5">
        <v>0.92</v>
      </c>
      <c r="G264" t="s">
        <v>94</v>
      </c>
    </row>
    <row r="265" spans="1:7">
      <c r="A265" t="s">
        <v>83</v>
      </c>
      <c r="B265" t="s">
        <v>56</v>
      </c>
      <c r="C265">
        <v>2022</v>
      </c>
      <c r="D265" s="5">
        <v>36.04</v>
      </c>
      <c r="E265" s="5">
        <v>14.67</v>
      </c>
      <c r="F265" s="5">
        <v>0.92</v>
      </c>
      <c r="G265" t="s">
        <v>94</v>
      </c>
    </row>
    <row r="266" spans="1:7">
      <c r="A266" t="s">
        <v>65</v>
      </c>
      <c r="B266" t="s">
        <v>56</v>
      </c>
      <c r="C266">
        <v>2022</v>
      </c>
      <c r="D266" s="5">
        <v>42.92</v>
      </c>
      <c r="E266" s="5">
        <v>-3.77</v>
      </c>
      <c r="F266" s="5">
        <v>0.92</v>
      </c>
      <c r="G266" t="s">
        <v>94</v>
      </c>
    </row>
    <row r="267" spans="1:7">
      <c r="A267" t="s">
        <v>57</v>
      </c>
      <c r="B267" t="s">
        <v>56</v>
      </c>
      <c r="C267">
        <v>2022</v>
      </c>
      <c r="D267" s="5">
        <v>50.57</v>
      </c>
      <c r="E267" s="5">
        <v>-3.91</v>
      </c>
      <c r="F267" s="5">
        <v>0.92</v>
      </c>
      <c r="G267" t="s">
        <v>94</v>
      </c>
    </row>
    <row r="268" spans="1:7">
      <c r="A268" t="s">
        <v>78</v>
      </c>
      <c r="B268" t="s">
        <v>56</v>
      </c>
      <c r="C268">
        <v>2022</v>
      </c>
      <c r="D268" s="5">
        <v>33.39</v>
      </c>
      <c r="E268" s="5">
        <v>-10.19</v>
      </c>
      <c r="F268" s="5">
        <v>0.92</v>
      </c>
      <c r="G268" t="s">
        <v>94</v>
      </c>
    </row>
    <row r="269" spans="1:7">
      <c r="A269" t="s">
        <v>69</v>
      </c>
      <c r="B269" t="s">
        <v>56</v>
      </c>
      <c r="C269">
        <v>2022</v>
      </c>
      <c r="D269" s="5">
        <v>45.59</v>
      </c>
      <c r="E269" s="5"/>
      <c r="F269" s="5">
        <v>0.92</v>
      </c>
      <c r="G269" t="s">
        <v>94</v>
      </c>
    </row>
    <row r="270" spans="1:7">
      <c r="A270" t="s">
        <v>59</v>
      </c>
      <c r="B270" t="s">
        <v>56</v>
      </c>
      <c r="C270">
        <v>2022</v>
      </c>
      <c r="D270" s="5">
        <v>51.56</v>
      </c>
      <c r="E270" s="5">
        <v>15.51</v>
      </c>
      <c r="F270" s="5">
        <v>0.92</v>
      </c>
      <c r="G270" t="s">
        <v>94</v>
      </c>
    </row>
    <row r="271" spans="1:7">
      <c r="A271" t="s">
        <v>82</v>
      </c>
      <c r="B271" t="s">
        <v>56</v>
      </c>
      <c r="C271">
        <v>2022</v>
      </c>
      <c r="D271" s="5">
        <v>20.07</v>
      </c>
      <c r="E271" s="5">
        <v>-28.28</v>
      </c>
      <c r="F271" s="5">
        <v>0.92</v>
      </c>
      <c r="G271" t="s">
        <v>41</v>
      </c>
    </row>
    <row r="272" spans="1:7">
      <c r="A272" t="s">
        <v>73</v>
      </c>
      <c r="B272" t="s">
        <v>56</v>
      </c>
      <c r="C272">
        <v>2022</v>
      </c>
      <c r="D272" s="5">
        <v>29.9</v>
      </c>
      <c r="E272" s="5">
        <v>-5.93</v>
      </c>
      <c r="F272" s="5">
        <v>0.92</v>
      </c>
      <c r="G272" t="s">
        <v>94</v>
      </c>
    </row>
    <row r="273" spans="1:7">
      <c r="A273" t="s">
        <v>102</v>
      </c>
      <c r="B273" t="s">
        <v>101</v>
      </c>
      <c r="C273">
        <v>2022</v>
      </c>
      <c r="D273" s="5">
        <v>48.59</v>
      </c>
      <c r="E273" s="5">
        <v>-0.78</v>
      </c>
      <c r="F273" s="5">
        <v>0.59</v>
      </c>
      <c r="G273" t="s">
        <v>94</v>
      </c>
    </row>
    <row r="274" spans="1:7">
      <c r="A274" t="s">
        <v>86</v>
      </c>
      <c r="B274" t="s">
        <v>38</v>
      </c>
      <c r="C274">
        <v>2022</v>
      </c>
      <c r="D274" s="5">
        <v>63.54</v>
      </c>
      <c r="E274" s="5">
        <v>8.02</v>
      </c>
      <c r="F274" s="5">
        <v>1.1299999999999999</v>
      </c>
      <c r="G274" t="s">
        <v>94</v>
      </c>
    </row>
    <row r="275" spans="1:7">
      <c r="A275" t="s">
        <v>37</v>
      </c>
      <c r="B275" t="s">
        <v>38</v>
      </c>
      <c r="C275">
        <v>2022</v>
      </c>
      <c r="D275" s="5">
        <v>47.63</v>
      </c>
      <c r="E275" s="5">
        <v>4.24</v>
      </c>
      <c r="F275" s="5">
        <v>1.1299999999999999</v>
      </c>
      <c r="G275" t="s">
        <v>94</v>
      </c>
    </row>
    <row r="276" spans="1:7">
      <c r="A276" t="s">
        <v>84</v>
      </c>
      <c r="B276" t="s">
        <v>38</v>
      </c>
      <c r="C276">
        <v>2022</v>
      </c>
      <c r="D276" s="5">
        <v>46.09</v>
      </c>
      <c r="E276" s="5">
        <v>2.302</v>
      </c>
      <c r="F276" s="5">
        <v>1.1299999999999999</v>
      </c>
      <c r="G276" t="s">
        <v>94</v>
      </c>
    </row>
    <row r="277" spans="1:7">
      <c r="A277" t="s">
        <v>81</v>
      </c>
      <c r="B277" t="s">
        <v>38</v>
      </c>
      <c r="C277">
        <v>2022</v>
      </c>
      <c r="D277" s="5">
        <v>41.31</v>
      </c>
      <c r="E277" s="5">
        <v>-1.1200000000000001</v>
      </c>
      <c r="F277" s="5">
        <v>1.1299999999999999</v>
      </c>
      <c r="G277" t="s">
        <v>94</v>
      </c>
    </row>
    <row r="278" spans="1:7">
      <c r="A278" t="s">
        <v>80</v>
      </c>
      <c r="B278" t="s">
        <v>38</v>
      </c>
      <c r="C278">
        <v>2022</v>
      </c>
      <c r="D278" s="5">
        <v>48.28</v>
      </c>
      <c r="E278" s="5">
        <v>-7.54</v>
      </c>
      <c r="F278" s="5">
        <v>1.1299999999999999</v>
      </c>
      <c r="G278" t="s">
        <v>94</v>
      </c>
    </row>
    <row r="279" spans="1:7">
      <c r="A279" t="s">
        <v>79</v>
      </c>
      <c r="B279" t="s">
        <v>38</v>
      </c>
      <c r="C279">
        <v>2022</v>
      </c>
      <c r="D279" s="5">
        <v>43.44</v>
      </c>
      <c r="E279" s="5"/>
      <c r="F279" s="5">
        <v>1.1299999999999999</v>
      </c>
      <c r="G279" t="s">
        <v>94</v>
      </c>
    </row>
    <row r="280" spans="1:7">
      <c r="A280" t="s">
        <v>51</v>
      </c>
      <c r="B280" t="s">
        <v>38</v>
      </c>
      <c r="C280">
        <v>2022</v>
      </c>
      <c r="D280" s="5">
        <v>51.44</v>
      </c>
      <c r="E280" s="5">
        <v>-6.36</v>
      </c>
      <c r="F280" s="5">
        <v>1.1299999999999999</v>
      </c>
      <c r="G280" t="s">
        <v>41</v>
      </c>
    </row>
    <row r="281" spans="1:7">
      <c r="A281" t="s">
        <v>76</v>
      </c>
      <c r="B281" t="s">
        <v>47</v>
      </c>
      <c r="C281">
        <v>2023</v>
      </c>
      <c r="D281" s="5">
        <v>35.21</v>
      </c>
      <c r="E281" s="5">
        <v>-3.96</v>
      </c>
      <c r="F281" s="5">
        <v>1.2</v>
      </c>
      <c r="G281" t="s">
        <v>41</v>
      </c>
    </row>
    <row r="282" spans="1:7">
      <c r="A282" t="s">
        <v>72</v>
      </c>
      <c r="B282" t="s">
        <v>47</v>
      </c>
      <c r="C282">
        <v>2023</v>
      </c>
      <c r="D282" s="5">
        <v>50.63</v>
      </c>
      <c r="E282" s="5">
        <v>2.2400000000000002</v>
      </c>
      <c r="F282" s="5">
        <v>1.2</v>
      </c>
      <c r="G282" t="s">
        <v>41</v>
      </c>
    </row>
    <row r="283" spans="1:7">
      <c r="A283" t="s">
        <v>64</v>
      </c>
      <c r="B283" t="s">
        <v>47</v>
      </c>
      <c r="C283">
        <v>2023</v>
      </c>
      <c r="D283" s="5">
        <v>54.24</v>
      </c>
      <c r="E283" s="5">
        <v>-2.7</v>
      </c>
      <c r="F283" s="5">
        <v>1.2</v>
      </c>
      <c r="G283" t="s">
        <v>41</v>
      </c>
    </row>
    <row r="284" spans="1:7">
      <c r="A284" t="s">
        <v>61</v>
      </c>
      <c r="B284" t="s">
        <v>47</v>
      </c>
      <c r="C284">
        <v>2023</v>
      </c>
      <c r="D284" s="5">
        <v>64.11</v>
      </c>
      <c r="E284" s="5">
        <v>11.52</v>
      </c>
      <c r="F284" s="5">
        <v>1.2</v>
      </c>
      <c r="G284" t="s">
        <v>41</v>
      </c>
    </row>
    <row r="285" spans="1:7">
      <c r="A285" t="s">
        <v>70</v>
      </c>
      <c r="B285" t="s">
        <v>47</v>
      </c>
      <c r="C285">
        <v>2023</v>
      </c>
      <c r="D285" s="5">
        <v>55.83</v>
      </c>
      <c r="E285" s="5">
        <v>2.64</v>
      </c>
      <c r="F285" s="5">
        <v>1.2</v>
      </c>
      <c r="G285" t="s">
        <v>41</v>
      </c>
    </row>
    <row r="286" spans="1:7">
      <c r="A286" t="s">
        <v>53</v>
      </c>
      <c r="B286" t="s">
        <v>47</v>
      </c>
      <c r="C286">
        <v>2023</v>
      </c>
      <c r="D286" s="5">
        <v>62.92</v>
      </c>
      <c r="E286" s="5">
        <v>11.04</v>
      </c>
      <c r="F286" s="5">
        <v>1.2</v>
      </c>
      <c r="G286" t="s">
        <v>41</v>
      </c>
    </row>
    <row r="287" spans="1:7">
      <c r="A287" t="s">
        <v>48</v>
      </c>
      <c r="B287" t="s">
        <v>47</v>
      </c>
      <c r="C287">
        <v>2023</v>
      </c>
      <c r="D287" s="5">
        <v>68.12</v>
      </c>
      <c r="E287" s="5">
        <v>-1.08</v>
      </c>
      <c r="F287" s="5">
        <v>1.2</v>
      </c>
      <c r="G287" t="s">
        <v>36</v>
      </c>
    </row>
    <row r="288" spans="1:7">
      <c r="A288" t="s">
        <v>46</v>
      </c>
      <c r="B288" t="s">
        <v>47</v>
      </c>
      <c r="C288">
        <v>2023</v>
      </c>
      <c r="D288" s="5">
        <v>68.540000000000006</v>
      </c>
      <c r="E288" s="5">
        <v>-7.5</v>
      </c>
      <c r="F288" s="5">
        <v>1.2</v>
      </c>
      <c r="G288" t="s">
        <v>36</v>
      </c>
    </row>
    <row r="289" spans="1:7">
      <c r="A289" t="s">
        <v>71</v>
      </c>
      <c r="B289" t="s">
        <v>47</v>
      </c>
      <c r="C289">
        <v>2023</v>
      </c>
      <c r="D289" s="5">
        <v>46.25</v>
      </c>
      <c r="E289" s="5">
        <v>-2.66</v>
      </c>
      <c r="F289" s="5">
        <v>1.2</v>
      </c>
      <c r="G289" t="s">
        <v>41</v>
      </c>
    </row>
    <row r="290" spans="1:7">
      <c r="A290" t="s">
        <v>63</v>
      </c>
      <c r="B290" t="s">
        <v>47</v>
      </c>
      <c r="C290">
        <v>2023</v>
      </c>
      <c r="D290" s="5">
        <v>59.31</v>
      </c>
      <c r="E290" s="5">
        <v>-3.04</v>
      </c>
      <c r="F290" s="5">
        <v>1.2</v>
      </c>
      <c r="G290" t="s">
        <v>41</v>
      </c>
    </row>
    <row r="291" spans="1:7">
      <c r="A291" t="s">
        <v>54</v>
      </c>
      <c r="B291" t="s">
        <v>47</v>
      </c>
      <c r="C291">
        <v>2023</v>
      </c>
      <c r="D291" s="5">
        <v>57.6</v>
      </c>
      <c r="E291" s="5">
        <v>3.75</v>
      </c>
      <c r="F291" s="5">
        <v>1.2</v>
      </c>
      <c r="G291" t="s">
        <v>41</v>
      </c>
    </row>
    <row r="292" spans="1:7">
      <c r="A292" t="s">
        <v>62</v>
      </c>
      <c r="B292" t="s">
        <v>47</v>
      </c>
      <c r="C292">
        <v>2023</v>
      </c>
      <c r="D292" s="5">
        <v>48.69</v>
      </c>
      <c r="E292" s="5">
        <v>-4.72</v>
      </c>
      <c r="F292" s="5">
        <v>1.2</v>
      </c>
      <c r="G292" t="s">
        <v>41</v>
      </c>
    </row>
    <row r="293" spans="1:7">
      <c r="A293" t="s">
        <v>52</v>
      </c>
      <c r="B293" t="s">
        <v>47</v>
      </c>
      <c r="C293">
        <v>2023</v>
      </c>
      <c r="D293" s="5">
        <v>50</v>
      </c>
      <c r="E293" s="5">
        <v>1.72</v>
      </c>
      <c r="F293" s="5">
        <v>1.2</v>
      </c>
      <c r="G293" t="s">
        <v>41</v>
      </c>
    </row>
    <row r="294" spans="1:7">
      <c r="A294" t="s">
        <v>66</v>
      </c>
      <c r="B294" t="s">
        <v>67</v>
      </c>
      <c r="C294">
        <v>2023</v>
      </c>
      <c r="D294" s="5">
        <v>64</v>
      </c>
      <c r="E294" s="5">
        <v>6.87</v>
      </c>
      <c r="F294" s="5">
        <v>3.26</v>
      </c>
      <c r="G294" t="s">
        <v>36</v>
      </c>
    </row>
    <row r="295" spans="1:7">
      <c r="A295" t="s">
        <v>111</v>
      </c>
      <c r="B295" t="s">
        <v>67</v>
      </c>
      <c r="C295">
        <v>2023</v>
      </c>
      <c r="D295" s="5">
        <v>64.39</v>
      </c>
      <c r="E295" s="5">
        <v>-3.12</v>
      </c>
      <c r="F295" s="5">
        <v>3.26</v>
      </c>
      <c r="G295" t="s">
        <v>36</v>
      </c>
    </row>
    <row r="296" spans="1:7">
      <c r="A296" t="s">
        <v>89</v>
      </c>
      <c r="B296" t="s">
        <v>89</v>
      </c>
      <c r="C296">
        <v>2023</v>
      </c>
      <c r="D296" s="5">
        <v>34.61</v>
      </c>
      <c r="E296" s="5">
        <v>4.49</v>
      </c>
      <c r="F296" s="5">
        <v>3.3</v>
      </c>
      <c r="G296" t="s">
        <v>36</v>
      </c>
    </row>
    <row r="297" spans="1:7">
      <c r="A297" t="s">
        <v>74</v>
      </c>
      <c r="B297" t="s">
        <v>75</v>
      </c>
      <c r="C297">
        <v>2023</v>
      </c>
      <c r="D297" s="5">
        <v>45.94</v>
      </c>
      <c r="E297" s="5">
        <v>29.37</v>
      </c>
      <c r="F297" s="5">
        <v>3.3</v>
      </c>
      <c r="G297" t="s">
        <v>41</v>
      </c>
    </row>
    <row r="298" spans="1:7">
      <c r="A298" t="s">
        <v>42</v>
      </c>
      <c r="B298" t="s">
        <v>43</v>
      </c>
      <c r="C298">
        <v>2023</v>
      </c>
      <c r="D298" s="5">
        <v>63.73</v>
      </c>
      <c r="E298" s="5"/>
      <c r="F298" s="5">
        <v>3.3</v>
      </c>
      <c r="G298" t="s">
        <v>36</v>
      </c>
    </row>
    <row r="299" spans="1:7">
      <c r="A299" t="s">
        <v>77</v>
      </c>
      <c r="B299" t="s">
        <v>43</v>
      </c>
      <c r="C299">
        <v>2023</v>
      </c>
      <c r="D299" s="5">
        <v>64.62</v>
      </c>
      <c r="E299" s="5">
        <v>1.25</v>
      </c>
      <c r="F299" s="5">
        <v>1.2</v>
      </c>
      <c r="G299" t="s">
        <v>41</v>
      </c>
    </row>
    <row r="300" spans="1:7">
      <c r="A300" t="s">
        <v>103</v>
      </c>
      <c r="B300" t="s">
        <v>96</v>
      </c>
      <c r="C300">
        <v>2023</v>
      </c>
      <c r="D300" s="5">
        <v>53.75</v>
      </c>
      <c r="E300" s="5">
        <v>-7.51</v>
      </c>
      <c r="F300" s="5">
        <v>3.26</v>
      </c>
      <c r="G300" t="s">
        <v>41</v>
      </c>
    </row>
    <row r="301" spans="1:7">
      <c r="A301" t="s">
        <v>95</v>
      </c>
      <c r="B301" t="s">
        <v>96</v>
      </c>
      <c r="C301">
        <v>2023</v>
      </c>
      <c r="D301" s="5">
        <v>28.96</v>
      </c>
      <c r="E301" s="5">
        <v>-0.35</v>
      </c>
      <c r="F301" s="5">
        <v>3.26</v>
      </c>
      <c r="G301" t="s">
        <v>41</v>
      </c>
    </row>
    <row r="302" spans="1:7">
      <c r="A302" t="s">
        <v>87</v>
      </c>
      <c r="B302" t="s">
        <v>56</v>
      </c>
      <c r="C302">
        <v>2023</v>
      </c>
      <c r="D302" s="5">
        <v>21.15</v>
      </c>
      <c r="E302" s="5">
        <v>-3.12</v>
      </c>
      <c r="F302" s="5">
        <v>8.6999999999999993</v>
      </c>
      <c r="G302" t="s">
        <v>41</v>
      </c>
    </row>
    <row r="303" spans="1:7">
      <c r="A303" t="s">
        <v>3</v>
      </c>
      <c r="B303" t="s">
        <v>32</v>
      </c>
      <c r="C303">
        <v>2023</v>
      </c>
      <c r="D303" s="5">
        <v>38.92</v>
      </c>
      <c r="E303" s="5">
        <v>-3.27</v>
      </c>
      <c r="F303" s="5">
        <v>8.6999999999999993</v>
      </c>
      <c r="G303" t="s">
        <v>36</v>
      </c>
    </row>
    <row r="304" spans="1:7">
      <c r="A304" t="s">
        <v>68</v>
      </c>
      <c r="B304" t="s">
        <v>56</v>
      </c>
      <c r="C304">
        <v>2023</v>
      </c>
      <c r="D304" s="5">
        <v>35.25</v>
      </c>
      <c r="E304" s="5">
        <v>-7.75</v>
      </c>
      <c r="F304" s="5">
        <v>8.6999999999999993</v>
      </c>
      <c r="G304" t="s">
        <v>36</v>
      </c>
    </row>
    <row r="305" spans="1:7">
      <c r="A305" t="s">
        <v>55</v>
      </c>
      <c r="B305" t="s">
        <v>56</v>
      </c>
      <c r="C305">
        <v>2023</v>
      </c>
      <c r="D305" s="5">
        <v>47.58</v>
      </c>
      <c r="E305" s="5">
        <v>-7.34</v>
      </c>
      <c r="F305" s="5">
        <v>8.6999999999999993</v>
      </c>
      <c r="G305" t="s">
        <v>41</v>
      </c>
    </row>
    <row r="306" spans="1:7">
      <c r="A306" t="s">
        <v>60</v>
      </c>
      <c r="B306" t="s">
        <v>56</v>
      </c>
      <c r="C306">
        <v>2023</v>
      </c>
      <c r="D306" s="5">
        <v>56.38</v>
      </c>
      <c r="E306" s="5">
        <v>0.75</v>
      </c>
      <c r="F306" s="5">
        <v>8.6999999999999993</v>
      </c>
      <c r="G306" t="s">
        <v>41</v>
      </c>
    </row>
    <row r="307" spans="1:7">
      <c r="A307" t="s">
        <v>88</v>
      </c>
      <c r="B307" t="s">
        <v>56</v>
      </c>
      <c r="C307">
        <v>2023</v>
      </c>
      <c r="D307" s="5">
        <v>23.01</v>
      </c>
      <c r="E307" s="5">
        <v>-10.220000000000001</v>
      </c>
      <c r="F307" s="5">
        <v>8.6999999999999993</v>
      </c>
      <c r="G307" t="s">
        <v>36</v>
      </c>
    </row>
    <row r="308" spans="1:7">
      <c r="A308" t="s">
        <v>85</v>
      </c>
      <c r="B308" t="s">
        <v>56</v>
      </c>
      <c r="C308">
        <v>2023</v>
      </c>
      <c r="D308" s="5">
        <v>30.94</v>
      </c>
      <c r="E308" s="5">
        <v>-20.99</v>
      </c>
      <c r="F308" s="5">
        <v>8.6999999999999993</v>
      </c>
      <c r="G308" t="s">
        <v>36</v>
      </c>
    </row>
    <row r="309" spans="1:7">
      <c r="A309" t="s">
        <v>83</v>
      </c>
      <c r="B309" t="s">
        <v>56</v>
      </c>
      <c r="C309">
        <v>2023</v>
      </c>
      <c r="D309" s="5">
        <v>36.58</v>
      </c>
      <c r="E309" s="5">
        <v>0.54</v>
      </c>
      <c r="F309" s="5">
        <v>8.6999999999999993</v>
      </c>
      <c r="G309" t="s">
        <v>36</v>
      </c>
    </row>
    <row r="310" spans="1:7">
      <c r="A310" t="s">
        <v>65</v>
      </c>
      <c r="B310" t="s">
        <v>56</v>
      </c>
      <c r="C310">
        <v>2023</v>
      </c>
      <c r="D310" s="5">
        <v>32.42</v>
      </c>
      <c r="E310" s="5">
        <v>-10.5</v>
      </c>
      <c r="F310" s="5">
        <v>8.6999999999999993</v>
      </c>
      <c r="G310" t="s">
        <v>36</v>
      </c>
    </row>
    <row r="311" spans="1:7">
      <c r="A311" t="s">
        <v>57</v>
      </c>
      <c r="B311" t="s">
        <v>56</v>
      </c>
      <c r="C311">
        <v>2023</v>
      </c>
      <c r="D311" s="5">
        <v>56.88</v>
      </c>
      <c r="E311" s="5">
        <v>6.31</v>
      </c>
      <c r="F311" s="5">
        <v>8.6999999999999993</v>
      </c>
      <c r="G311" t="s">
        <v>41</v>
      </c>
    </row>
    <row r="312" spans="1:7">
      <c r="A312" t="s">
        <v>78</v>
      </c>
      <c r="B312" t="s">
        <v>56</v>
      </c>
      <c r="C312">
        <v>2023</v>
      </c>
      <c r="D312" s="5">
        <v>33.39</v>
      </c>
      <c r="E312" s="5">
        <v>0</v>
      </c>
      <c r="F312" s="5">
        <v>8.6999999999999993</v>
      </c>
      <c r="G312" t="s">
        <v>41</v>
      </c>
    </row>
    <row r="313" spans="1:7">
      <c r="A313" t="s">
        <v>69</v>
      </c>
      <c r="B313" t="s">
        <v>56</v>
      </c>
      <c r="C313">
        <v>2023</v>
      </c>
      <c r="D313" s="5">
        <v>42.19</v>
      </c>
      <c r="E313" s="5">
        <v>-3.4</v>
      </c>
      <c r="F313" s="5">
        <v>8.6999999999999993</v>
      </c>
      <c r="G313" t="s">
        <v>41</v>
      </c>
    </row>
    <row r="314" spans="1:7">
      <c r="A314" t="s">
        <v>59</v>
      </c>
      <c r="B314" t="s">
        <v>56</v>
      </c>
      <c r="C314">
        <v>2023</v>
      </c>
      <c r="D314" s="5">
        <v>45.83</v>
      </c>
      <c r="E314" s="5">
        <v>-5.73</v>
      </c>
      <c r="F314" s="5">
        <v>8.6999999999999993</v>
      </c>
      <c r="G314" t="s">
        <v>41</v>
      </c>
    </row>
    <row r="315" spans="1:7">
      <c r="A315" t="s">
        <v>82</v>
      </c>
      <c r="B315" t="s">
        <v>56</v>
      </c>
      <c r="C315">
        <v>2023</v>
      </c>
      <c r="D315" s="5">
        <v>21.09</v>
      </c>
      <c r="E315" s="5">
        <v>1.02</v>
      </c>
      <c r="F315" s="5">
        <v>8.6999999999999993</v>
      </c>
      <c r="G315" t="s">
        <v>41</v>
      </c>
    </row>
    <row r="316" spans="1:7">
      <c r="A316" t="s">
        <v>73</v>
      </c>
      <c r="B316" t="s">
        <v>56</v>
      </c>
      <c r="C316">
        <v>2023</v>
      </c>
      <c r="D316" s="5">
        <v>25.73</v>
      </c>
      <c r="E316" s="5">
        <v>-4.17</v>
      </c>
      <c r="F316" s="5">
        <v>8.6999999999999993</v>
      </c>
      <c r="G316" t="s">
        <v>41</v>
      </c>
    </row>
    <row r="317" spans="1:7">
      <c r="A317" t="s">
        <v>102</v>
      </c>
      <c r="B317" t="s">
        <v>101</v>
      </c>
      <c r="C317">
        <v>2023</v>
      </c>
      <c r="D317" s="5">
        <v>45.16</v>
      </c>
      <c r="E317" s="5">
        <v>-3.43</v>
      </c>
      <c r="F317" s="5">
        <v>2.62</v>
      </c>
      <c r="G317" t="s">
        <v>41</v>
      </c>
    </row>
    <row r="318" spans="1:7">
      <c r="A318" t="s">
        <v>86</v>
      </c>
      <c r="B318" t="s">
        <v>38</v>
      </c>
      <c r="C318">
        <v>2023</v>
      </c>
      <c r="D318" s="5">
        <v>67.61</v>
      </c>
      <c r="E318" s="5">
        <v>4.07</v>
      </c>
      <c r="F318" s="5">
        <v>3.3</v>
      </c>
      <c r="G318" t="s">
        <v>36</v>
      </c>
    </row>
    <row r="319" spans="1:7">
      <c r="A319" t="s">
        <v>37</v>
      </c>
      <c r="B319" t="s">
        <v>38</v>
      </c>
      <c r="C319">
        <v>2023</v>
      </c>
      <c r="D319" s="5">
        <v>50.25</v>
      </c>
      <c r="E319" s="5">
        <v>2.62</v>
      </c>
      <c r="F319" s="5">
        <v>3.3</v>
      </c>
      <c r="G319" t="s">
        <v>41</v>
      </c>
    </row>
    <row r="320" spans="1:7">
      <c r="A320" t="s">
        <v>84</v>
      </c>
      <c r="B320" t="s">
        <v>38</v>
      </c>
      <c r="C320">
        <v>2023</v>
      </c>
      <c r="D320" s="5">
        <v>55.48</v>
      </c>
      <c r="E320" s="5">
        <v>9.39</v>
      </c>
      <c r="F320" s="5">
        <v>3.3</v>
      </c>
      <c r="G320" t="s">
        <v>36</v>
      </c>
    </row>
    <row r="321" spans="1:7">
      <c r="A321" t="s">
        <v>81</v>
      </c>
      <c r="B321" t="s">
        <v>38</v>
      </c>
      <c r="C321">
        <v>2023</v>
      </c>
      <c r="D321" s="5">
        <v>40.25</v>
      </c>
      <c r="E321" s="5">
        <v>-1.06</v>
      </c>
      <c r="F321" s="5">
        <v>3.3</v>
      </c>
      <c r="G321" t="s">
        <v>41</v>
      </c>
    </row>
    <row r="322" spans="1:7">
      <c r="A322" t="s">
        <v>80</v>
      </c>
      <c r="B322" t="s">
        <v>38</v>
      </c>
      <c r="C322">
        <v>2023</v>
      </c>
      <c r="D322" s="5">
        <v>34.31</v>
      </c>
      <c r="E322" s="5">
        <v>-13.97</v>
      </c>
      <c r="F322" s="5">
        <v>3.3</v>
      </c>
      <c r="G322" t="s">
        <v>36</v>
      </c>
    </row>
    <row r="323" spans="1:7">
      <c r="A323" t="s">
        <v>79</v>
      </c>
      <c r="B323" t="s">
        <v>38</v>
      </c>
      <c r="C323">
        <v>2023</v>
      </c>
      <c r="D323" s="5">
        <v>30.63</v>
      </c>
      <c r="E323" s="5">
        <v>-12.81</v>
      </c>
      <c r="F323" s="5">
        <v>3.3</v>
      </c>
      <c r="G323" t="s">
        <v>41</v>
      </c>
    </row>
    <row r="324" spans="1:7">
      <c r="A324" t="s">
        <v>51</v>
      </c>
      <c r="B324" t="s">
        <v>38</v>
      </c>
      <c r="C324">
        <v>2023</v>
      </c>
      <c r="D324" s="5">
        <v>46.67</v>
      </c>
      <c r="E324" s="5">
        <v>-4.7699999999999996</v>
      </c>
      <c r="F324" s="5">
        <v>3.3</v>
      </c>
      <c r="G324" t="s">
        <v>41</v>
      </c>
    </row>
    <row r="325" spans="1:7">
      <c r="A325" t="s">
        <v>76</v>
      </c>
      <c r="B325" t="s">
        <v>47</v>
      </c>
      <c r="C325">
        <v>2024</v>
      </c>
      <c r="D325" s="5">
        <v>38.03</v>
      </c>
      <c r="E325" s="5">
        <v>2.82</v>
      </c>
      <c r="F325" s="5">
        <v>9.44</v>
      </c>
      <c r="G325" t="s">
        <v>36</v>
      </c>
    </row>
    <row r="326" spans="1:7">
      <c r="A326" t="s">
        <v>72</v>
      </c>
      <c r="B326" t="s">
        <v>47</v>
      </c>
      <c r="C326">
        <v>2024</v>
      </c>
      <c r="D326" s="5">
        <v>42.41</v>
      </c>
      <c r="E326" s="5">
        <v>-8.2200000000000006</v>
      </c>
      <c r="F326" s="5">
        <v>9.44</v>
      </c>
      <c r="G326" t="s">
        <v>41</v>
      </c>
    </row>
    <row r="327" spans="1:7">
      <c r="A327" t="s">
        <v>64</v>
      </c>
      <c r="B327" t="s">
        <v>47</v>
      </c>
      <c r="C327">
        <v>2024</v>
      </c>
      <c r="D327" s="5">
        <v>55.76</v>
      </c>
      <c r="E327" s="5">
        <v>1.52</v>
      </c>
      <c r="F327" s="5">
        <v>9.44</v>
      </c>
      <c r="G327" t="s">
        <v>41</v>
      </c>
    </row>
    <row r="328" spans="1:7">
      <c r="A328" t="s">
        <v>61</v>
      </c>
      <c r="B328" t="s">
        <v>47</v>
      </c>
      <c r="C328">
        <v>2024</v>
      </c>
      <c r="D328" s="5">
        <v>60.27</v>
      </c>
      <c r="E328" s="5">
        <v>-3.84</v>
      </c>
      <c r="F328" s="5">
        <v>9.44</v>
      </c>
      <c r="G328" t="s">
        <v>41</v>
      </c>
    </row>
    <row r="329" spans="1:7">
      <c r="A329" t="s">
        <v>70</v>
      </c>
      <c r="B329" t="s">
        <v>47</v>
      </c>
      <c r="C329">
        <v>2024</v>
      </c>
      <c r="D329" s="5">
        <v>46.6</v>
      </c>
      <c r="E329" s="5">
        <v>-9.23</v>
      </c>
      <c r="F329" s="5">
        <v>9.44</v>
      </c>
      <c r="G329" t="s">
        <v>41</v>
      </c>
    </row>
    <row r="330" spans="1:7">
      <c r="A330" t="s">
        <v>53</v>
      </c>
      <c r="B330" t="s">
        <v>47</v>
      </c>
      <c r="C330">
        <v>2024</v>
      </c>
      <c r="D330" s="5">
        <v>62.28</v>
      </c>
      <c r="E330" s="5">
        <v>-0.64</v>
      </c>
      <c r="F330" s="5">
        <v>9.44</v>
      </c>
      <c r="G330" t="s">
        <v>36</v>
      </c>
    </row>
    <row r="331" spans="1:7">
      <c r="A331" t="s">
        <v>48</v>
      </c>
      <c r="B331" t="s">
        <v>47</v>
      </c>
      <c r="C331">
        <v>2024</v>
      </c>
      <c r="D331" s="5">
        <v>58.83</v>
      </c>
      <c r="E331" s="5">
        <v>-9.2899999999999991</v>
      </c>
      <c r="F331" s="5">
        <v>9.44</v>
      </c>
      <c r="G331" t="s">
        <v>36</v>
      </c>
    </row>
    <row r="332" spans="1:7">
      <c r="A332" t="s">
        <v>46</v>
      </c>
      <c r="B332" t="s">
        <v>47</v>
      </c>
      <c r="C332">
        <v>2024</v>
      </c>
      <c r="D332" s="5">
        <v>69.58</v>
      </c>
      <c r="E332" s="5">
        <v>1.04</v>
      </c>
      <c r="F332" s="5">
        <v>9.44</v>
      </c>
      <c r="G332" t="s">
        <v>41</v>
      </c>
    </row>
    <row r="333" spans="1:7">
      <c r="A333" t="s">
        <v>71</v>
      </c>
      <c r="B333" t="s">
        <v>47</v>
      </c>
      <c r="C333">
        <v>2024</v>
      </c>
      <c r="D333" s="5">
        <v>47.5</v>
      </c>
      <c r="E333" s="5">
        <v>1.25</v>
      </c>
      <c r="F333" s="5">
        <v>9.44</v>
      </c>
      <c r="G333" t="s">
        <v>36</v>
      </c>
    </row>
    <row r="334" spans="1:7">
      <c r="A334" t="s">
        <v>63</v>
      </c>
      <c r="B334" t="s">
        <v>47</v>
      </c>
      <c r="C334">
        <v>2024</v>
      </c>
      <c r="D334" s="5">
        <v>56.53</v>
      </c>
      <c r="E334" s="5">
        <v>-2.78</v>
      </c>
      <c r="F334" s="5">
        <v>9.44</v>
      </c>
      <c r="G334" t="s">
        <v>41</v>
      </c>
    </row>
    <row r="335" spans="1:7">
      <c r="A335" t="s">
        <v>54</v>
      </c>
      <c r="B335" t="s">
        <v>47</v>
      </c>
      <c r="C335">
        <v>2024</v>
      </c>
      <c r="D335" s="5">
        <v>50.73</v>
      </c>
      <c r="E335" s="5">
        <v>-6.87</v>
      </c>
      <c r="F335" s="5">
        <v>9.44</v>
      </c>
      <c r="G335" t="s">
        <v>41</v>
      </c>
    </row>
    <row r="336" spans="1:7">
      <c r="A336" t="s">
        <v>62</v>
      </c>
      <c r="B336" t="s">
        <v>47</v>
      </c>
      <c r="C336">
        <v>2024</v>
      </c>
      <c r="D336" s="5">
        <v>47.95</v>
      </c>
      <c r="E336" s="5">
        <v>-0.74</v>
      </c>
      <c r="F336" s="5">
        <v>9.44</v>
      </c>
      <c r="G336" t="s">
        <v>41</v>
      </c>
    </row>
    <row r="337" spans="1:7">
      <c r="A337" t="s">
        <v>52</v>
      </c>
      <c r="B337" t="s">
        <v>47</v>
      </c>
      <c r="C337">
        <v>2024</v>
      </c>
      <c r="D337" s="5">
        <v>56.72</v>
      </c>
      <c r="E337" s="5">
        <v>6.72</v>
      </c>
      <c r="F337" s="5">
        <v>9.44</v>
      </c>
      <c r="G337" t="s">
        <v>41</v>
      </c>
    </row>
    <row r="338" spans="1:7">
      <c r="A338" t="s">
        <v>66</v>
      </c>
      <c r="B338" t="s">
        <v>67</v>
      </c>
      <c r="C338">
        <v>2024</v>
      </c>
      <c r="D338" s="5">
        <v>49.13</v>
      </c>
      <c r="E338" s="5">
        <v>-14.87</v>
      </c>
      <c r="F338" s="5">
        <v>13.64</v>
      </c>
      <c r="G338" t="s">
        <v>41</v>
      </c>
    </row>
    <row r="339" spans="1:7">
      <c r="A339" t="s">
        <v>89</v>
      </c>
      <c r="B339" t="s">
        <v>89</v>
      </c>
      <c r="C339">
        <v>2024</v>
      </c>
      <c r="D339" s="5">
        <v>33.159999999999997</v>
      </c>
      <c r="E339" s="5">
        <v>-1.45</v>
      </c>
      <c r="F339" s="5">
        <v>15.12</v>
      </c>
      <c r="G339" t="s">
        <v>36</v>
      </c>
    </row>
    <row r="340" spans="1:7">
      <c r="A340" t="s">
        <v>74</v>
      </c>
      <c r="B340" t="s">
        <v>75</v>
      </c>
      <c r="C340">
        <v>2024</v>
      </c>
      <c r="D340" s="5">
        <v>42.51</v>
      </c>
      <c r="E340" s="5">
        <v>-3.43</v>
      </c>
      <c r="F340" s="5">
        <v>15.12</v>
      </c>
      <c r="G340" t="s">
        <v>36</v>
      </c>
    </row>
    <row r="341" spans="1:7">
      <c r="A341" t="s">
        <v>42</v>
      </c>
      <c r="B341" t="s">
        <v>43</v>
      </c>
      <c r="C341">
        <v>2024</v>
      </c>
      <c r="D341" s="5">
        <v>62.06</v>
      </c>
      <c r="E341" s="5">
        <v>-1.67</v>
      </c>
      <c r="F341" s="5">
        <v>15.12</v>
      </c>
      <c r="G341" t="s">
        <v>36</v>
      </c>
    </row>
    <row r="342" spans="1:7">
      <c r="A342" t="s">
        <v>77</v>
      </c>
      <c r="B342" t="s">
        <v>43</v>
      </c>
      <c r="C342">
        <v>2024</v>
      </c>
      <c r="D342" s="5">
        <v>58.29</v>
      </c>
      <c r="E342" s="5">
        <v>-6.33</v>
      </c>
      <c r="F342" s="5">
        <v>9.44</v>
      </c>
      <c r="G342" t="s">
        <v>36</v>
      </c>
    </row>
    <row r="343" spans="1:7">
      <c r="A343" t="s">
        <v>103</v>
      </c>
      <c r="B343" t="s">
        <v>96</v>
      </c>
      <c r="C343">
        <v>2024</v>
      </c>
      <c r="D343" s="5">
        <v>51.89</v>
      </c>
      <c r="E343" s="5">
        <v>-1.86</v>
      </c>
      <c r="F343" s="5">
        <v>13.64</v>
      </c>
      <c r="G343" t="s">
        <v>36</v>
      </c>
    </row>
    <row r="344" spans="1:7">
      <c r="A344" t="s">
        <v>95</v>
      </c>
      <c r="B344" t="s">
        <v>96</v>
      </c>
      <c r="C344">
        <v>2024</v>
      </c>
      <c r="D344" s="5">
        <v>27.99</v>
      </c>
      <c r="E344" s="5">
        <v>-0.97</v>
      </c>
      <c r="F344" s="5">
        <v>13.64</v>
      </c>
      <c r="G344" t="s">
        <v>41</v>
      </c>
    </row>
    <row r="345" spans="1:7">
      <c r="A345" t="s">
        <v>87</v>
      </c>
      <c r="B345" t="s">
        <v>56</v>
      </c>
      <c r="C345">
        <v>2024</v>
      </c>
      <c r="D345" s="5">
        <v>20.5</v>
      </c>
      <c r="E345" s="5">
        <v>-0.65</v>
      </c>
      <c r="F345" s="5">
        <v>11.4</v>
      </c>
      <c r="G345" t="s">
        <v>41</v>
      </c>
    </row>
    <row r="346" spans="1:7">
      <c r="A346" t="s">
        <v>68</v>
      </c>
      <c r="B346" t="s">
        <v>56</v>
      </c>
      <c r="C346">
        <v>2024</v>
      </c>
      <c r="D346" s="5">
        <v>35.69</v>
      </c>
      <c r="E346" s="5">
        <v>0.44</v>
      </c>
      <c r="F346" s="5">
        <v>11.4</v>
      </c>
      <c r="G346" t="s">
        <v>41</v>
      </c>
    </row>
    <row r="347" spans="1:7">
      <c r="A347" t="s">
        <v>55</v>
      </c>
      <c r="B347" t="s">
        <v>56</v>
      </c>
      <c r="C347">
        <v>2024</v>
      </c>
      <c r="D347" s="5">
        <v>49.53</v>
      </c>
      <c r="E347" s="5">
        <v>1.95</v>
      </c>
      <c r="F347" s="5">
        <v>11.4</v>
      </c>
      <c r="G347" t="s">
        <v>41</v>
      </c>
    </row>
    <row r="348" spans="1:7">
      <c r="A348" t="s">
        <v>60</v>
      </c>
      <c r="B348" t="s">
        <v>56</v>
      </c>
      <c r="C348">
        <v>2024</v>
      </c>
      <c r="D348" s="5">
        <v>58.5</v>
      </c>
      <c r="E348" s="5">
        <v>2.12</v>
      </c>
      <c r="F348" s="5">
        <v>11.4</v>
      </c>
      <c r="G348" t="s">
        <v>41</v>
      </c>
    </row>
    <row r="349" spans="1:7">
      <c r="A349" t="s">
        <v>88</v>
      </c>
      <c r="B349" t="s">
        <v>56</v>
      </c>
      <c r="C349">
        <v>2024</v>
      </c>
      <c r="D349" s="5">
        <v>22.29</v>
      </c>
      <c r="E349" s="5">
        <v>-0.72</v>
      </c>
      <c r="F349" s="5">
        <v>11.4</v>
      </c>
      <c r="G349" t="s">
        <v>41</v>
      </c>
    </row>
    <row r="350" spans="1:7">
      <c r="A350" t="s">
        <v>85</v>
      </c>
      <c r="B350" t="s">
        <v>56</v>
      </c>
      <c r="C350">
        <v>2024</v>
      </c>
      <c r="D350" s="5">
        <v>32.840000000000003</v>
      </c>
      <c r="E350" s="5">
        <v>1.9</v>
      </c>
      <c r="F350" s="5">
        <v>11.4</v>
      </c>
      <c r="G350" t="s">
        <v>36</v>
      </c>
    </row>
    <row r="351" spans="1:7">
      <c r="A351" t="s">
        <v>83</v>
      </c>
      <c r="B351" t="s">
        <v>56</v>
      </c>
      <c r="C351">
        <v>2024</v>
      </c>
      <c r="D351" s="5">
        <v>26.89</v>
      </c>
      <c r="E351" s="5">
        <v>-9.69</v>
      </c>
      <c r="F351" s="5">
        <v>11.4</v>
      </c>
      <c r="G351" t="s">
        <v>36</v>
      </c>
    </row>
    <row r="352" spans="1:7">
      <c r="A352" t="s">
        <v>65</v>
      </c>
      <c r="B352" t="s">
        <v>56</v>
      </c>
      <c r="C352">
        <v>2024</v>
      </c>
      <c r="D352" s="5">
        <v>39.299999999999997</v>
      </c>
      <c r="E352" s="5">
        <v>6.88</v>
      </c>
      <c r="F352" s="5">
        <v>11.4</v>
      </c>
      <c r="G352" t="s">
        <v>36</v>
      </c>
    </row>
    <row r="353" spans="1:7">
      <c r="A353" t="s">
        <v>57</v>
      </c>
      <c r="B353" t="s">
        <v>56</v>
      </c>
      <c r="C353">
        <v>2024</v>
      </c>
      <c r="D353" s="5">
        <v>63.29</v>
      </c>
      <c r="E353" s="5">
        <v>6.41</v>
      </c>
      <c r="F353" s="5">
        <v>11.4</v>
      </c>
      <c r="G353" t="s">
        <v>36</v>
      </c>
    </row>
    <row r="354" spans="1:7">
      <c r="A354" t="s">
        <v>78</v>
      </c>
      <c r="B354" t="s">
        <v>56</v>
      </c>
      <c r="C354">
        <v>2024</v>
      </c>
      <c r="D354" s="5">
        <v>22.67</v>
      </c>
      <c r="E354" s="5">
        <v>-10.72</v>
      </c>
      <c r="F354" s="5">
        <v>11.4</v>
      </c>
      <c r="G354" t="s">
        <v>36</v>
      </c>
    </row>
    <row r="355" spans="1:7">
      <c r="A355" t="s">
        <v>69</v>
      </c>
      <c r="B355" t="s">
        <v>56</v>
      </c>
      <c r="C355">
        <v>2024</v>
      </c>
      <c r="D355" s="5">
        <v>44.83</v>
      </c>
      <c r="E355" s="5">
        <v>2.64</v>
      </c>
      <c r="F355" s="5">
        <v>11.4</v>
      </c>
      <c r="G355" t="s">
        <v>41</v>
      </c>
    </row>
    <row r="356" spans="1:7">
      <c r="A356" t="s">
        <v>59</v>
      </c>
      <c r="B356" t="s">
        <v>56</v>
      </c>
      <c r="C356">
        <v>2024</v>
      </c>
      <c r="D356" s="5">
        <v>55.78</v>
      </c>
      <c r="E356" s="5">
        <v>9.9499999999999993</v>
      </c>
      <c r="F356" s="5">
        <v>11.4</v>
      </c>
      <c r="G356" t="s">
        <v>41</v>
      </c>
    </row>
    <row r="357" spans="1:7">
      <c r="A357" t="s">
        <v>82</v>
      </c>
      <c r="B357" t="s">
        <v>56</v>
      </c>
      <c r="C357">
        <v>2024</v>
      </c>
      <c r="D357" s="5">
        <v>13.98</v>
      </c>
      <c r="E357" s="5">
        <v>-7.11</v>
      </c>
      <c r="F357" s="5">
        <v>11.4</v>
      </c>
      <c r="G357" t="s">
        <v>36</v>
      </c>
    </row>
    <row r="358" spans="1:7">
      <c r="A358" t="s">
        <v>73</v>
      </c>
      <c r="B358" t="s">
        <v>56</v>
      </c>
      <c r="C358">
        <v>2024</v>
      </c>
      <c r="D358" s="5">
        <v>32.44</v>
      </c>
      <c r="E358" s="5">
        <v>6.71</v>
      </c>
      <c r="F358" s="5">
        <v>11.4</v>
      </c>
      <c r="G358" t="s">
        <v>36</v>
      </c>
    </row>
    <row r="359" spans="1:7">
      <c r="A359" t="s">
        <v>86</v>
      </c>
      <c r="B359" t="s">
        <v>38</v>
      </c>
      <c r="C359">
        <v>2024</v>
      </c>
      <c r="D359" s="5">
        <v>59.27</v>
      </c>
      <c r="E359" s="5">
        <v>-8.34</v>
      </c>
      <c r="F359" s="5">
        <v>15.12</v>
      </c>
      <c r="G359" t="s">
        <v>41</v>
      </c>
    </row>
    <row r="360" spans="1:7">
      <c r="A360" t="s">
        <v>37</v>
      </c>
      <c r="B360" t="s">
        <v>38</v>
      </c>
      <c r="C360">
        <v>2024</v>
      </c>
      <c r="D360" s="5">
        <v>47.52</v>
      </c>
      <c r="E360" s="5">
        <v>-2.73</v>
      </c>
      <c r="F360" s="5">
        <v>15.12</v>
      </c>
      <c r="G360" t="s">
        <v>36</v>
      </c>
    </row>
    <row r="361" spans="1:7">
      <c r="A361" t="s">
        <v>84</v>
      </c>
      <c r="B361" t="s">
        <v>38</v>
      </c>
      <c r="C361">
        <v>2024</v>
      </c>
      <c r="D361" s="5">
        <v>36.71</v>
      </c>
      <c r="E361" s="5">
        <v>-18.77</v>
      </c>
      <c r="F361" s="5">
        <v>15.12</v>
      </c>
      <c r="G361" t="s">
        <v>36</v>
      </c>
    </row>
    <row r="362" spans="1:7">
      <c r="A362" t="s">
        <v>81</v>
      </c>
      <c r="B362" t="s">
        <v>38</v>
      </c>
      <c r="C362">
        <v>2024</v>
      </c>
      <c r="D362" s="5">
        <v>39.19</v>
      </c>
      <c r="E362" s="5">
        <v>-1.06</v>
      </c>
      <c r="F362" s="5">
        <v>15.12</v>
      </c>
      <c r="G362" t="s">
        <v>41</v>
      </c>
    </row>
    <row r="363" spans="1:7">
      <c r="A363" t="s">
        <v>80</v>
      </c>
      <c r="B363" t="s">
        <v>38</v>
      </c>
      <c r="C363">
        <v>2024</v>
      </c>
      <c r="D363" s="5">
        <v>29.17</v>
      </c>
      <c r="E363" s="5">
        <v>-5.14</v>
      </c>
      <c r="F363" s="5">
        <v>15.12</v>
      </c>
      <c r="G363" t="s">
        <v>41</v>
      </c>
    </row>
    <row r="364" spans="1:7">
      <c r="A364" t="s">
        <v>79</v>
      </c>
      <c r="B364" t="s">
        <v>38</v>
      </c>
      <c r="C364">
        <v>2024</v>
      </c>
      <c r="D364" s="5">
        <v>28.29</v>
      </c>
      <c r="E364" s="5">
        <v>-2.34</v>
      </c>
      <c r="F364" s="5">
        <v>15.12</v>
      </c>
      <c r="G364" t="s">
        <v>36</v>
      </c>
    </row>
    <row r="365" spans="1:7">
      <c r="A365" t="s">
        <v>51</v>
      </c>
      <c r="B365" t="s">
        <v>38</v>
      </c>
      <c r="C365">
        <v>2024</v>
      </c>
      <c r="D365" s="5">
        <v>57.08</v>
      </c>
      <c r="E365" s="5">
        <v>10.41</v>
      </c>
      <c r="F365" s="5">
        <v>15.12</v>
      </c>
      <c r="G365" t="s">
        <v>41</v>
      </c>
    </row>
    <row r="366" spans="1:7">
      <c r="A366" t="s">
        <v>76</v>
      </c>
      <c r="B366" t="s">
        <v>47</v>
      </c>
      <c r="C366">
        <v>2025</v>
      </c>
      <c r="D366" s="5">
        <v>35.42</v>
      </c>
      <c r="E366" s="5">
        <v>-2.61</v>
      </c>
      <c r="F366" s="5">
        <v>1.88</v>
      </c>
      <c r="G366" t="s">
        <v>36</v>
      </c>
    </row>
    <row r="367" spans="1:7">
      <c r="A367" t="s">
        <v>72</v>
      </c>
      <c r="B367" t="s">
        <v>47</v>
      </c>
      <c r="C367">
        <v>2025</v>
      </c>
      <c r="D367" s="5">
        <v>43.04</v>
      </c>
      <c r="E367" s="5">
        <v>0.63</v>
      </c>
      <c r="F367" s="5">
        <v>1.88</v>
      </c>
      <c r="G367" t="s">
        <v>41</v>
      </c>
    </row>
    <row r="368" spans="1:7">
      <c r="A368" t="s">
        <v>64</v>
      </c>
      <c r="B368" t="s">
        <v>47</v>
      </c>
      <c r="C368">
        <v>2025</v>
      </c>
      <c r="D368" s="5">
        <v>45.31</v>
      </c>
      <c r="E368" s="5">
        <v>-10.45</v>
      </c>
      <c r="F368" s="5">
        <v>1.88</v>
      </c>
      <c r="G368" t="s">
        <v>41</v>
      </c>
    </row>
    <row r="369" spans="1:7">
      <c r="A369" t="s">
        <v>61</v>
      </c>
      <c r="B369" t="s">
        <v>47</v>
      </c>
      <c r="C369">
        <v>2025</v>
      </c>
      <c r="D369" s="5">
        <v>48.96</v>
      </c>
      <c r="E369" s="5">
        <v>-11.31</v>
      </c>
      <c r="F369" s="5">
        <v>1.88</v>
      </c>
      <c r="G369" t="s">
        <v>41</v>
      </c>
    </row>
    <row r="370" spans="1:7">
      <c r="A370" t="s">
        <v>70</v>
      </c>
      <c r="B370" t="s">
        <v>47</v>
      </c>
      <c r="C370">
        <v>2025</v>
      </c>
      <c r="D370" s="5">
        <v>41.77</v>
      </c>
      <c r="E370" s="5">
        <v>-4.83</v>
      </c>
      <c r="F370" s="5">
        <v>1.88</v>
      </c>
      <c r="G370" t="s">
        <v>41</v>
      </c>
    </row>
    <row r="371" spans="1:7">
      <c r="A371" t="s">
        <v>53</v>
      </c>
      <c r="B371" t="s">
        <v>47</v>
      </c>
      <c r="C371">
        <v>2025</v>
      </c>
      <c r="D371" s="5">
        <v>51.88</v>
      </c>
      <c r="E371" s="5">
        <v>-10.4</v>
      </c>
      <c r="F371" s="5">
        <v>1.88</v>
      </c>
      <c r="G371" t="s">
        <v>41</v>
      </c>
    </row>
    <row r="372" spans="1:7">
      <c r="A372" t="s">
        <v>48</v>
      </c>
      <c r="B372" t="s">
        <v>47</v>
      </c>
      <c r="C372">
        <v>2025</v>
      </c>
      <c r="D372" s="5">
        <v>54.17</v>
      </c>
      <c r="E372" s="5">
        <v>-4.66</v>
      </c>
      <c r="F372" s="5">
        <v>1.88</v>
      </c>
      <c r="G372" t="s">
        <v>41</v>
      </c>
    </row>
    <row r="373" spans="1:7">
      <c r="A373" t="s">
        <v>46</v>
      </c>
      <c r="B373" t="s">
        <v>47</v>
      </c>
      <c r="C373">
        <v>2025</v>
      </c>
      <c r="D373" s="5">
        <v>58.33</v>
      </c>
      <c r="E373" s="5">
        <v>-11.25</v>
      </c>
      <c r="F373" s="5">
        <v>1.88</v>
      </c>
      <c r="G373" t="s">
        <v>41</v>
      </c>
    </row>
    <row r="374" spans="1:7">
      <c r="A374" t="s">
        <v>71</v>
      </c>
      <c r="B374" t="s">
        <v>47</v>
      </c>
      <c r="C374">
        <v>2025</v>
      </c>
      <c r="D374" s="5">
        <v>43.75</v>
      </c>
      <c r="E374" s="5">
        <v>-3.75</v>
      </c>
      <c r="F374" s="5">
        <v>1.88</v>
      </c>
      <c r="G374" t="s">
        <v>41</v>
      </c>
    </row>
    <row r="375" spans="1:7">
      <c r="A375" t="s">
        <v>63</v>
      </c>
      <c r="B375" t="s">
        <v>47</v>
      </c>
      <c r="C375">
        <v>2025</v>
      </c>
      <c r="D375" s="5">
        <v>48.85</v>
      </c>
      <c r="E375" s="5">
        <v>-7.68</v>
      </c>
      <c r="F375" s="5">
        <v>1.88</v>
      </c>
      <c r="G375" t="s">
        <v>41</v>
      </c>
    </row>
    <row r="376" spans="1:7">
      <c r="A376" t="s">
        <v>54</v>
      </c>
      <c r="B376" t="s">
        <v>47</v>
      </c>
      <c r="C376">
        <v>2025</v>
      </c>
      <c r="D376" s="5">
        <v>52.81</v>
      </c>
      <c r="E376" s="5">
        <v>2.08</v>
      </c>
      <c r="F376" s="5">
        <v>1.88</v>
      </c>
      <c r="G376" t="s">
        <v>41</v>
      </c>
    </row>
    <row r="377" spans="1:7">
      <c r="A377" t="s">
        <v>62</v>
      </c>
      <c r="B377" t="s">
        <v>47</v>
      </c>
      <c r="C377">
        <v>2025</v>
      </c>
      <c r="D377" s="5">
        <v>45.73</v>
      </c>
      <c r="E377" s="5">
        <v>-2.2200000000000002</v>
      </c>
      <c r="F377" s="5">
        <v>1.88</v>
      </c>
      <c r="G377" t="s">
        <v>41</v>
      </c>
    </row>
    <row r="378" spans="1:7">
      <c r="A378" t="s">
        <v>52</v>
      </c>
      <c r="B378" t="s">
        <v>47</v>
      </c>
      <c r="C378">
        <v>2025</v>
      </c>
      <c r="D378" s="5">
        <v>52.5</v>
      </c>
      <c r="E378" s="5">
        <v>-4.22</v>
      </c>
      <c r="F378" s="5">
        <v>1.88</v>
      </c>
      <c r="G378" t="s">
        <v>41</v>
      </c>
    </row>
    <row r="379" spans="1:7">
      <c r="A379" t="s">
        <v>66</v>
      </c>
      <c r="B379" t="s">
        <v>67</v>
      </c>
      <c r="C379">
        <v>2025</v>
      </c>
      <c r="D379" s="5">
        <v>42.29</v>
      </c>
      <c r="E379" s="5">
        <v>-6.84</v>
      </c>
      <c r="F379" s="5">
        <v>1.94</v>
      </c>
      <c r="G379" t="s">
        <v>41</v>
      </c>
    </row>
    <row r="380" spans="1:7">
      <c r="A380" t="s">
        <v>89</v>
      </c>
      <c r="B380" t="s">
        <v>89</v>
      </c>
      <c r="C380">
        <v>2025</v>
      </c>
      <c r="D380" s="5">
        <v>32.119999999999997</v>
      </c>
      <c r="E380" s="5">
        <v>-1.04</v>
      </c>
      <c r="F380" s="5">
        <v>2.0499999999999998</v>
      </c>
      <c r="G380" t="s">
        <v>36</v>
      </c>
    </row>
    <row r="381" spans="1:7">
      <c r="A381" t="s">
        <v>74</v>
      </c>
      <c r="B381" t="s">
        <v>75</v>
      </c>
      <c r="C381">
        <v>2025</v>
      </c>
      <c r="D381" s="5">
        <v>35.01</v>
      </c>
      <c r="E381" s="5">
        <v>-7.5</v>
      </c>
      <c r="F381" s="5">
        <v>2.0499999999999998</v>
      </c>
      <c r="G381" t="s">
        <v>36</v>
      </c>
    </row>
    <row r="382" spans="1:7">
      <c r="A382" t="s">
        <v>42</v>
      </c>
      <c r="B382" t="s">
        <v>43</v>
      </c>
      <c r="C382">
        <v>2025</v>
      </c>
      <c r="D382" s="5">
        <v>54.22</v>
      </c>
      <c r="E382" s="5">
        <v>-7.84</v>
      </c>
      <c r="F382" s="5">
        <v>2.0499999999999998</v>
      </c>
      <c r="G382" t="s">
        <v>41</v>
      </c>
    </row>
    <row r="383" spans="1:7">
      <c r="A383" t="s">
        <v>77</v>
      </c>
      <c r="B383" t="s">
        <v>43</v>
      </c>
      <c r="C383">
        <v>2025</v>
      </c>
      <c r="D383" s="5">
        <v>42.99</v>
      </c>
      <c r="E383" s="5">
        <v>-15.3</v>
      </c>
      <c r="F383" s="5">
        <v>1.88</v>
      </c>
      <c r="G383" t="s">
        <v>41</v>
      </c>
    </row>
    <row r="384" spans="1:7">
      <c r="A384" t="s">
        <v>87</v>
      </c>
      <c r="B384" t="s">
        <v>56</v>
      </c>
      <c r="C384">
        <v>2025</v>
      </c>
      <c r="D384" s="5">
        <v>14.69</v>
      </c>
      <c r="E384" s="5">
        <v>-5.81</v>
      </c>
      <c r="F384" s="5">
        <v>4.04</v>
      </c>
      <c r="G384" t="s">
        <v>36</v>
      </c>
    </row>
    <row r="385" spans="1:7">
      <c r="A385" t="s">
        <v>3</v>
      </c>
      <c r="B385" t="s">
        <v>32</v>
      </c>
      <c r="C385">
        <v>2025</v>
      </c>
      <c r="D385" s="5">
        <v>24.23</v>
      </c>
      <c r="E385" s="5">
        <v>-7.3449999999999998</v>
      </c>
      <c r="F385" s="5">
        <v>4.04</v>
      </c>
      <c r="G385" t="s">
        <v>36</v>
      </c>
    </row>
    <row r="386" spans="1:7">
      <c r="A386" t="s">
        <v>68</v>
      </c>
      <c r="B386" t="s">
        <v>56</v>
      </c>
      <c r="C386">
        <v>2025</v>
      </c>
      <c r="D386" s="5">
        <v>41.42</v>
      </c>
      <c r="E386" s="5">
        <v>5.73</v>
      </c>
      <c r="F386" s="5">
        <v>4.04</v>
      </c>
      <c r="G386" t="s">
        <v>41</v>
      </c>
    </row>
    <row r="387" spans="1:7">
      <c r="A387" t="s">
        <v>55</v>
      </c>
      <c r="B387" t="s">
        <v>56</v>
      </c>
      <c r="C387">
        <v>2025</v>
      </c>
      <c r="D387" s="5">
        <v>51.04</v>
      </c>
      <c r="E387" s="5">
        <v>1.51</v>
      </c>
      <c r="F387" s="5">
        <v>4.04</v>
      </c>
      <c r="G387" t="s">
        <v>41</v>
      </c>
    </row>
    <row r="388" spans="1:7">
      <c r="A388" t="s">
        <v>60</v>
      </c>
      <c r="B388" t="s">
        <v>56</v>
      </c>
      <c r="C388">
        <v>2025</v>
      </c>
      <c r="D388" s="5">
        <v>50.88</v>
      </c>
      <c r="E388" s="5">
        <v>-7.62</v>
      </c>
      <c r="F388" s="5">
        <v>4.04</v>
      </c>
      <c r="G388" t="s">
        <v>41</v>
      </c>
    </row>
    <row r="389" spans="1:7">
      <c r="A389" t="s">
        <v>88</v>
      </c>
      <c r="B389" t="s">
        <v>56</v>
      </c>
      <c r="C389">
        <v>2025</v>
      </c>
      <c r="D389" s="5">
        <v>26.56</v>
      </c>
      <c r="E389" s="5">
        <v>4.2699999999999996</v>
      </c>
      <c r="F389" s="5">
        <v>4.04</v>
      </c>
      <c r="G389" t="s">
        <v>41</v>
      </c>
    </row>
    <row r="390" spans="1:7">
      <c r="A390" t="s">
        <v>85</v>
      </c>
      <c r="B390" t="s">
        <v>56</v>
      </c>
      <c r="C390">
        <v>2025</v>
      </c>
      <c r="D390" s="5">
        <v>22.55</v>
      </c>
      <c r="E390" s="5">
        <v>-10.29</v>
      </c>
      <c r="F390" s="5">
        <v>4.04</v>
      </c>
      <c r="G390" t="s">
        <v>36</v>
      </c>
    </row>
    <row r="391" spans="1:7">
      <c r="A391" t="s">
        <v>83</v>
      </c>
      <c r="B391" t="s">
        <v>56</v>
      </c>
      <c r="C391">
        <v>2025</v>
      </c>
      <c r="D391" s="5">
        <v>28.75</v>
      </c>
      <c r="E391" s="5">
        <v>1.86</v>
      </c>
      <c r="F391" s="5">
        <v>4.04</v>
      </c>
      <c r="G391" t="s">
        <v>41</v>
      </c>
    </row>
    <row r="392" spans="1:7">
      <c r="A392" t="s">
        <v>65</v>
      </c>
      <c r="B392" t="s">
        <v>56</v>
      </c>
      <c r="C392">
        <v>2025</v>
      </c>
      <c r="D392" s="5">
        <v>37.770000000000003</v>
      </c>
      <c r="E392" s="5">
        <v>-1.53</v>
      </c>
      <c r="F392" s="5">
        <v>4.04</v>
      </c>
      <c r="G392" t="s">
        <v>36</v>
      </c>
    </row>
    <row r="393" spans="1:7">
      <c r="A393" t="s">
        <v>57</v>
      </c>
      <c r="B393" t="s">
        <v>56</v>
      </c>
      <c r="C393">
        <v>2025</v>
      </c>
      <c r="D393" s="5">
        <v>55.21</v>
      </c>
      <c r="E393" s="5">
        <v>-8.08</v>
      </c>
      <c r="F393" s="5">
        <v>4.04</v>
      </c>
      <c r="G393" t="s">
        <v>41</v>
      </c>
    </row>
    <row r="394" spans="1:7">
      <c r="A394" t="s">
        <v>78</v>
      </c>
      <c r="B394" t="s">
        <v>56</v>
      </c>
      <c r="C394">
        <v>2025</v>
      </c>
      <c r="D394" s="5">
        <v>21.52</v>
      </c>
      <c r="E394" s="5">
        <v>-1.1499999999999999</v>
      </c>
      <c r="F394" s="5">
        <v>4.04</v>
      </c>
      <c r="G394" t="s">
        <v>41</v>
      </c>
    </row>
    <row r="395" spans="1:7">
      <c r="A395" t="s">
        <v>69</v>
      </c>
      <c r="B395" t="s">
        <v>56</v>
      </c>
      <c r="C395">
        <v>2025</v>
      </c>
      <c r="D395" s="5">
        <v>40.35</v>
      </c>
      <c r="E395" s="5">
        <v>-4.4800000000000004</v>
      </c>
      <c r="F395" s="5">
        <v>4.04</v>
      </c>
      <c r="G395" t="s">
        <v>41</v>
      </c>
    </row>
    <row r="396" spans="1:7">
      <c r="A396" t="s">
        <v>59</v>
      </c>
      <c r="B396" t="s">
        <v>56</v>
      </c>
      <c r="C396">
        <v>2025</v>
      </c>
      <c r="D396" s="5">
        <v>51.77</v>
      </c>
      <c r="E396" s="5">
        <v>-4.01</v>
      </c>
      <c r="F396" s="5">
        <v>4.04</v>
      </c>
      <c r="G396" t="s">
        <v>41</v>
      </c>
    </row>
    <row r="397" spans="1:7">
      <c r="A397" t="s">
        <v>82</v>
      </c>
      <c r="B397" t="s">
        <v>56</v>
      </c>
      <c r="C397">
        <v>2025</v>
      </c>
      <c r="D397" s="5">
        <v>13.12</v>
      </c>
      <c r="E397" s="5">
        <v>-0.86</v>
      </c>
      <c r="F397" s="5">
        <v>4.04</v>
      </c>
      <c r="G397" t="s">
        <v>36</v>
      </c>
    </row>
    <row r="398" spans="1:7">
      <c r="A398" t="s">
        <v>73</v>
      </c>
      <c r="B398" t="s">
        <v>56</v>
      </c>
      <c r="C398">
        <v>2025</v>
      </c>
      <c r="D398" s="5">
        <v>15.94</v>
      </c>
      <c r="E398" s="5">
        <v>-16.5</v>
      </c>
      <c r="F398" s="5">
        <v>4.04</v>
      </c>
      <c r="G398" t="s">
        <v>41</v>
      </c>
    </row>
    <row r="399" spans="1:7">
      <c r="A399" t="s">
        <v>86</v>
      </c>
      <c r="B399" t="s">
        <v>38</v>
      </c>
      <c r="C399">
        <v>2025</v>
      </c>
      <c r="D399" s="5">
        <v>48.02</v>
      </c>
      <c r="E399" s="5">
        <v>-11.25</v>
      </c>
      <c r="F399" s="5">
        <v>2.0499999999999998</v>
      </c>
      <c r="G399" t="s">
        <v>41</v>
      </c>
    </row>
    <row r="400" spans="1:7">
      <c r="A400" t="s">
        <v>37</v>
      </c>
      <c r="B400" t="s">
        <v>38</v>
      </c>
      <c r="C400">
        <v>2025</v>
      </c>
      <c r="D400" s="5">
        <v>52.63</v>
      </c>
      <c r="E400" s="5">
        <v>5.1100000000000003</v>
      </c>
      <c r="F400" s="5">
        <v>2.0499999999999998</v>
      </c>
      <c r="G400" t="s">
        <v>41</v>
      </c>
    </row>
    <row r="401" spans="1:7">
      <c r="A401" t="s">
        <v>84</v>
      </c>
      <c r="B401" t="s">
        <v>38</v>
      </c>
      <c r="C401">
        <v>2025</v>
      </c>
      <c r="D401" s="5">
        <v>26.72</v>
      </c>
      <c r="E401" s="5">
        <v>-9.99</v>
      </c>
      <c r="F401" s="5">
        <v>2.0499999999999998</v>
      </c>
      <c r="G401" t="s">
        <v>41</v>
      </c>
    </row>
    <row r="402" spans="1:7">
      <c r="A402" t="s">
        <v>81</v>
      </c>
      <c r="B402" t="s">
        <v>38</v>
      </c>
      <c r="C402">
        <v>2025</v>
      </c>
      <c r="D402" s="5">
        <v>32.44</v>
      </c>
      <c r="E402" s="5">
        <v>-6.75</v>
      </c>
      <c r="F402" s="5">
        <v>2.0499999999999998</v>
      </c>
      <c r="G402" t="s">
        <v>41</v>
      </c>
    </row>
    <row r="403" spans="1:7">
      <c r="A403" t="s">
        <v>80</v>
      </c>
      <c r="B403" t="s">
        <v>38</v>
      </c>
      <c r="C403">
        <v>2025</v>
      </c>
      <c r="D403" s="5">
        <v>25.89</v>
      </c>
      <c r="E403" s="5">
        <v>-3.28</v>
      </c>
      <c r="F403" s="5">
        <v>2.0499999999999998</v>
      </c>
      <c r="G403" t="s">
        <v>41</v>
      </c>
    </row>
    <row r="404" spans="1:7">
      <c r="A404" t="s">
        <v>79</v>
      </c>
      <c r="B404" t="s">
        <v>38</v>
      </c>
      <c r="C404">
        <v>2025</v>
      </c>
      <c r="D404" s="5">
        <v>27.92</v>
      </c>
      <c r="E404" s="5">
        <v>-0.37</v>
      </c>
      <c r="F404" s="5">
        <v>2.0499999999999998</v>
      </c>
      <c r="G404" t="s">
        <v>41</v>
      </c>
    </row>
    <row r="405" spans="1:7">
      <c r="A405" t="s">
        <v>51</v>
      </c>
      <c r="B405" t="s">
        <v>38</v>
      </c>
      <c r="C405">
        <v>2025</v>
      </c>
      <c r="D405" s="5">
        <v>54.17</v>
      </c>
      <c r="E405" s="5">
        <v>-2.91</v>
      </c>
      <c r="F405" s="5">
        <v>2.0499999999999998</v>
      </c>
      <c r="G405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showGridLines="0" workbookViewId="0"/>
  </sheetViews>
  <sheetFormatPr defaultRowHeight="13.8"/>
  <cols>
    <col min="1" max="1" width="24" customWidth="1"/>
    <col min="2" max="4" width="18" customWidth="1"/>
    <col min="6" max="6" width="26" customWidth="1"/>
    <col min="7" max="7" width="45" customWidth="1"/>
  </cols>
  <sheetData>
    <row r="1" spans="1:7">
      <c r="A1" s="2" t="s">
        <v>17</v>
      </c>
      <c r="B1" s="3" t="s">
        <v>112</v>
      </c>
      <c r="C1" s="3" t="s">
        <v>113</v>
      </c>
      <c r="D1" s="4" t="s">
        <v>20</v>
      </c>
      <c r="F1" s="2" t="s">
        <v>114</v>
      </c>
      <c r="G1" s="4" t="s">
        <v>115</v>
      </c>
    </row>
    <row r="2" spans="1:7">
      <c r="A2" t="s">
        <v>116</v>
      </c>
      <c r="B2" s="7">
        <v>5.9909999999999997</v>
      </c>
      <c r="C2" s="7">
        <v>8.1</v>
      </c>
      <c r="D2" s="7">
        <v>-1.9E-2</v>
      </c>
      <c r="F2" t="s">
        <v>117</v>
      </c>
      <c r="G2" t="s">
        <v>118</v>
      </c>
    </row>
    <row r="3" spans="1:7">
      <c r="A3" t="s">
        <v>119</v>
      </c>
      <c r="B3" s="7">
        <v>5.99</v>
      </c>
      <c r="C3" s="7">
        <v>7.9390000000000001</v>
      </c>
      <c r="D3" s="7">
        <v>2.1000000000000001E-2</v>
      </c>
      <c r="F3" t="s">
        <v>120</v>
      </c>
      <c r="G3">
        <v>183</v>
      </c>
    </row>
    <row r="4" spans="1:7">
      <c r="A4" t="s">
        <v>121</v>
      </c>
      <c r="B4" s="7">
        <v>5.862</v>
      </c>
      <c r="C4" s="7">
        <v>7.741</v>
      </c>
      <c r="D4" s="7">
        <v>0.069</v>
      </c>
      <c r="F4" t="s">
        <v>122</v>
      </c>
      <c r="G4" s="8">
        <v>2.1488199341510157E-2</v>
      </c>
    </row>
    <row r="5" spans="1:7">
      <c r="A5" t="s">
        <v>123</v>
      </c>
      <c r="B5" s="7">
        <v>6.0739999999999998</v>
      </c>
      <c r="C5" s="7">
        <v>8.016</v>
      </c>
      <c r="D5" s="7">
        <v>2E-3</v>
      </c>
      <c r="F5" t="s">
        <v>124</v>
      </c>
      <c r="G5" t="s">
        <v>125</v>
      </c>
    </row>
    <row r="7" spans="1:7">
      <c r="F7" s="2" t="s">
        <v>90</v>
      </c>
      <c r="G7" s="4" t="s">
        <v>126</v>
      </c>
    </row>
    <row r="8" spans="1:7">
      <c r="F8">
        <v>2012</v>
      </c>
      <c r="G8" s="5">
        <v>57.120000000000005</v>
      </c>
    </row>
    <row r="9" spans="1:7">
      <c r="F9">
        <v>2013</v>
      </c>
      <c r="G9" s="5">
        <v>49.181428571428583</v>
      </c>
    </row>
    <row r="10" spans="1:7">
      <c r="F10">
        <v>2014</v>
      </c>
      <c r="G10" s="5">
        <v>49.192272727272737</v>
      </c>
    </row>
    <row r="11" spans="1:7">
      <c r="F11">
        <v>2015</v>
      </c>
      <c r="G11" s="5">
        <v>47.310000000000009</v>
      </c>
    </row>
    <row r="12" spans="1:7">
      <c r="F12">
        <v>2016</v>
      </c>
      <c r="G12" s="5">
        <v>44.462962962962962</v>
      </c>
    </row>
    <row r="13" spans="1:7">
      <c r="F13">
        <v>2017</v>
      </c>
      <c r="G13" s="5">
        <v>43.265517241379314</v>
      </c>
    </row>
    <row r="14" spans="1:7">
      <c r="F14">
        <v>2018</v>
      </c>
      <c r="G14" s="5">
        <v>41.339999999999996</v>
      </c>
    </row>
    <row r="15" spans="1:7">
      <c r="F15">
        <v>2019</v>
      </c>
      <c r="G15" s="5">
        <v>42.153333333333336</v>
      </c>
    </row>
    <row r="16" spans="1:7">
      <c r="F16">
        <v>2020</v>
      </c>
      <c r="G16" s="5">
        <v>41.358400000000003</v>
      </c>
    </row>
    <row r="17" spans="6:7">
      <c r="F17">
        <v>2021</v>
      </c>
      <c r="G17" s="5">
        <v>43.638571428571424</v>
      </c>
    </row>
    <row r="18" spans="6:7">
      <c r="F18">
        <v>2022</v>
      </c>
      <c r="G18" s="5">
        <v>47.558139534883729</v>
      </c>
    </row>
    <row r="19" spans="6:7">
      <c r="F19">
        <v>2023</v>
      </c>
      <c r="G19" s="5">
        <v>46.798863636363649</v>
      </c>
    </row>
    <row r="20" spans="6:7">
      <c r="F20">
        <v>2024</v>
      </c>
      <c r="G20" s="5">
        <v>44.731219512195118</v>
      </c>
    </row>
    <row r="21" spans="6:7">
      <c r="F21">
        <v>2025</v>
      </c>
      <c r="G21" s="5">
        <v>39.818500000000007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Priority_Data</vt:lpstr>
      <vt:lpstr>History_Data</vt:lpstr>
      <vt:lpstr>Model_Check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Chee Keat Tan</cp:lastModifiedBy>
  <dcterms:modified xsi:type="dcterms:W3CDTF">2026-09-14T22:29:07Z</dcterms:modified>
</cp:coreProperties>
</file>